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4A445DA-CF94-4430-AEC1-EDF62B3D2C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1" i="1" l="1"/>
  <c r="I234" i="1"/>
  <c r="S233" i="1"/>
  <c r="R233" i="1"/>
  <c r="Q233" i="1"/>
  <c r="N233" i="1"/>
  <c r="M233" i="1"/>
  <c r="L233" i="1"/>
  <c r="K233" i="1"/>
  <c r="J232" i="1"/>
  <c r="T232" i="1" s="1"/>
  <c r="H232" i="1"/>
  <c r="O231" i="1"/>
  <c r="J231" i="1"/>
  <c r="T231" i="1" s="1"/>
  <c r="H231" i="1"/>
  <c r="T230" i="1"/>
  <c r="J230" i="1"/>
  <c r="O229" i="1"/>
  <c r="J229" i="1"/>
  <c r="O228" i="1"/>
  <c r="J228" i="1"/>
  <c r="J227" i="1"/>
  <c r="T227" i="1" s="1"/>
  <c r="T226" i="1"/>
  <c r="J226" i="1"/>
  <c r="T225" i="1"/>
  <c r="J225" i="1"/>
  <c r="T224" i="1"/>
  <c r="J224" i="1"/>
  <c r="O223" i="1"/>
  <c r="O233" i="1" s="1"/>
  <c r="J223" i="1"/>
  <c r="H223" i="1"/>
  <c r="T222" i="1"/>
  <c r="J222" i="1"/>
  <c r="A222" i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J221" i="1"/>
  <c r="H221" i="1"/>
  <c r="H233" i="1" s="1"/>
  <c r="S219" i="1"/>
  <c r="R219" i="1"/>
  <c r="Q219" i="1"/>
  <c r="O219" i="1"/>
  <c r="N219" i="1"/>
  <c r="M219" i="1"/>
  <c r="L219" i="1"/>
  <c r="K219" i="1"/>
  <c r="H219" i="1"/>
  <c r="T218" i="1"/>
  <c r="J218" i="1"/>
  <c r="T217" i="1"/>
  <c r="J217" i="1"/>
  <c r="J216" i="1"/>
  <c r="T216" i="1" s="1"/>
  <c r="T215" i="1"/>
  <c r="J215" i="1"/>
  <c r="T214" i="1"/>
  <c r="J214" i="1"/>
  <c r="T213" i="1"/>
  <c r="J213" i="1"/>
  <c r="J212" i="1"/>
  <c r="T212" i="1" s="1"/>
  <c r="T211" i="1"/>
  <c r="J211" i="1"/>
  <c r="T210" i="1"/>
  <c r="J210" i="1"/>
  <c r="H210" i="1"/>
  <c r="A210" i="1"/>
  <c r="A211" i="1" s="1"/>
  <c r="A212" i="1" s="1"/>
  <c r="A213" i="1" s="1"/>
  <c r="A214" i="1" s="1"/>
  <c r="A215" i="1" s="1"/>
  <c r="A216" i="1" s="1"/>
  <c r="A217" i="1" s="1"/>
  <c r="A218" i="1" s="1"/>
  <c r="T209" i="1"/>
  <c r="T219" i="1" s="1"/>
  <c r="J209" i="1"/>
  <c r="J219" i="1" s="1"/>
  <c r="H209" i="1"/>
  <c r="T207" i="1"/>
  <c r="S207" i="1"/>
  <c r="R207" i="1"/>
  <c r="Q207" i="1"/>
  <c r="O207" i="1"/>
  <c r="N207" i="1"/>
  <c r="M207" i="1"/>
  <c r="L207" i="1"/>
  <c r="K207" i="1"/>
  <c r="J206" i="1"/>
  <c r="T206" i="1" s="1"/>
  <c r="H206" i="1"/>
  <c r="T205" i="1"/>
  <c r="J205" i="1"/>
  <c r="T204" i="1"/>
  <c r="J204" i="1"/>
  <c r="J207" i="1" s="1"/>
  <c r="H204" i="1"/>
  <c r="H207" i="1" s="1"/>
  <c r="U202" i="1"/>
  <c r="S202" i="1"/>
  <c r="R202" i="1"/>
  <c r="Q202" i="1"/>
  <c r="O202" i="1"/>
  <c r="N202" i="1"/>
  <c r="M202" i="1"/>
  <c r="L202" i="1"/>
  <c r="J201" i="1"/>
  <c r="T201" i="1" s="1"/>
  <c r="J200" i="1"/>
  <c r="T200" i="1" s="1"/>
  <c r="T199" i="1"/>
  <c r="K199" i="1"/>
  <c r="J199" i="1"/>
  <c r="H198" i="1"/>
  <c r="J198" i="1" s="1"/>
  <c r="T198" i="1" s="1"/>
  <c r="A198" i="1"/>
  <c r="A199" i="1" s="1"/>
  <c r="A200" i="1" s="1"/>
  <c r="A201" i="1" s="1"/>
  <c r="T197" i="1"/>
  <c r="J197" i="1"/>
  <c r="T196" i="1"/>
  <c r="J196" i="1"/>
  <c r="I196" i="1"/>
  <c r="H196" i="1"/>
  <c r="A196" i="1"/>
  <c r="A197" i="1" s="1"/>
  <c r="H195" i="1"/>
  <c r="H202" i="1" s="1"/>
  <c r="A195" i="1"/>
  <c r="T194" i="1"/>
  <c r="J194" i="1"/>
  <c r="A194" i="1"/>
  <c r="T193" i="1"/>
  <c r="J193" i="1"/>
  <c r="A193" i="1"/>
  <c r="K192" i="1"/>
  <c r="K202" i="1" s="1"/>
  <c r="J192" i="1"/>
  <c r="U190" i="1"/>
  <c r="S190" i="1"/>
  <c r="S234" i="1" s="1"/>
  <c r="R190" i="1"/>
  <c r="Q190" i="1"/>
  <c r="O190" i="1"/>
  <c r="N190" i="1"/>
  <c r="N234" i="1" s="1"/>
  <c r="L190" i="1"/>
  <c r="M189" i="1"/>
  <c r="J189" i="1"/>
  <c r="T189" i="1" s="1"/>
  <c r="H189" i="1"/>
  <c r="M188" i="1"/>
  <c r="J188" i="1"/>
  <c r="T188" i="1" s="1"/>
  <c r="M187" i="1"/>
  <c r="J187" i="1"/>
  <c r="T187" i="1" s="1"/>
  <c r="M186" i="1"/>
  <c r="J186" i="1"/>
  <c r="T186" i="1" s="1"/>
  <c r="J185" i="1"/>
  <c r="T185" i="1" s="1"/>
  <c r="H184" i="1"/>
  <c r="K183" i="1"/>
  <c r="K190" i="1" s="1"/>
  <c r="J183" i="1"/>
  <c r="T183" i="1" s="1"/>
  <c r="J182" i="1"/>
  <c r="T182" i="1" s="1"/>
  <c r="A182" i="1"/>
  <c r="A183" i="1" s="1"/>
  <c r="A184" i="1" s="1"/>
  <c r="A185" i="1" s="1"/>
  <c r="A186" i="1" s="1"/>
  <c r="A187" i="1" s="1"/>
  <c r="A188" i="1" s="1"/>
  <c r="A189" i="1" s="1"/>
  <c r="T181" i="1"/>
  <c r="J181" i="1"/>
  <c r="S179" i="1"/>
  <c r="R179" i="1"/>
  <c r="Q179" i="1"/>
  <c r="O179" i="1"/>
  <c r="N179" i="1"/>
  <c r="M179" i="1"/>
  <c r="L179" i="1"/>
  <c r="K179" i="1"/>
  <c r="J178" i="1"/>
  <c r="T178" i="1" s="1"/>
  <c r="T177" i="1"/>
  <c r="J177" i="1"/>
  <c r="T176" i="1"/>
  <c r="J176" i="1"/>
  <c r="J175" i="1"/>
  <c r="T175" i="1" s="1"/>
  <c r="J174" i="1"/>
  <c r="T174" i="1" s="1"/>
  <c r="A174" i="1"/>
  <c r="A175" i="1" s="1"/>
  <c r="A176" i="1" s="1"/>
  <c r="A177" i="1" s="1"/>
  <c r="A178" i="1" s="1"/>
  <c r="T173" i="1"/>
  <c r="J173" i="1"/>
  <c r="A173" i="1"/>
  <c r="T172" i="1"/>
  <c r="J172" i="1"/>
  <c r="H171" i="1"/>
  <c r="A171" i="1"/>
  <c r="J170" i="1"/>
  <c r="T170" i="1" s="1"/>
  <c r="S168" i="1"/>
  <c r="R168" i="1"/>
  <c r="Q168" i="1"/>
  <c r="O168" i="1"/>
  <c r="N168" i="1"/>
  <c r="L168" i="1"/>
  <c r="K168" i="1"/>
  <c r="J167" i="1"/>
  <c r="T167" i="1" s="1"/>
  <c r="H166" i="1"/>
  <c r="J166" i="1" s="1"/>
  <c r="T166" i="1" s="1"/>
  <c r="H165" i="1"/>
  <c r="J165" i="1" s="1"/>
  <c r="T165" i="1" s="1"/>
  <c r="J164" i="1"/>
  <c r="T164" i="1" s="1"/>
  <c r="H163" i="1"/>
  <c r="J163" i="1" s="1"/>
  <c r="T163" i="1" s="1"/>
  <c r="T162" i="1"/>
  <c r="J162" i="1"/>
  <c r="T161" i="1"/>
  <c r="J161" i="1"/>
  <c r="H161" i="1"/>
  <c r="T160" i="1"/>
  <c r="M160" i="1"/>
  <c r="J160" i="1"/>
  <c r="T159" i="1"/>
  <c r="J159" i="1"/>
  <c r="J158" i="1"/>
  <c r="T158" i="1" s="1"/>
  <c r="H157" i="1"/>
  <c r="J157" i="1" s="1"/>
  <c r="T157" i="1" s="1"/>
  <c r="J156" i="1"/>
  <c r="T156" i="1" s="1"/>
  <c r="T155" i="1"/>
  <c r="M155" i="1"/>
  <c r="J155" i="1"/>
  <c r="M154" i="1"/>
  <c r="H154" i="1"/>
  <c r="J154" i="1" s="1"/>
  <c r="T154" i="1" s="1"/>
  <c r="T153" i="1"/>
  <c r="J153" i="1"/>
  <c r="T152" i="1"/>
  <c r="J152" i="1"/>
  <c r="T151" i="1"/>
  <c r="J151" i="1"/>
  <c r="J168" i="1" s="1"/>
  <c r="H151" i="1"/>
  <c r="T150" i="1"/>
  <c r="T168" i="1" s="1"/>
  <c r="M150" i="1"/>
  <c r="M168" i="1" s="1"/>
  <c r="J150" i="1"/>
  <c r="H150" i="1"/>
  <c r="H168" i="1" s="1"/>
  <c r="A150" i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T149" i="1"/>
  <c r="J149" i="1"/>
  <c r="U147" i="1"/>
  <c r="S147" i="1"/>
  <c r="R147" i="1"/>
  <c r="Q147" i="1"/>
  <c r="O147" i="1"/>
  <c r="N147" i="1"/>
  <c r="L147" i="1"/>
  <c r="K147" i="1"/>
  <c r="J146" i="1"/>
  <c r="T146" i="1" s="1"/>
  <c r="J145" i="1"/>
  <c r="T145" i="1" s="1"/>
  <c r="T144" i="1"/>
  <c r="J144" i="1"/>
  <c r="T143" i="1"/>
  <c r="M143" i="1"/>
  <c r="J143" i="1"/>
  <c r="T142" i="1"/>
  <c r="J142" i="1"/>
  <c r="J141" i="1"/>
  <c r="T141" i="1" s="1"/>
  <c r="J140" i="1"/>
  <c r="T140" i="1" s="1"/>
  <c r="A140" i="1"/>
  <c r="A141" i="1" s="1"/>
  <c r="A142" i="1" s="1"/>
  <c r="A143" i="1" s="1"/>
  <c r="A144" i="1" s="1"/>
  <c r="A145" i="1" s="1"/>
  <c r="A146" i="1" s="1"/>
  <c r="H139" i="1"/>
  <c r="J139" i="1" s="1"/>
  <c r="T139" i="1" s="1"/>
  <c r="A139" i="1"/>
  <c r="M138" i="1"/>
  <c r="H138" i="1"/>
  <c r="J138" i="1" s="1"/>
  <c r="T138" i="1" s="1"/>
  <c r="M137" i="1"/>
  <c r="J137" i="1"/>
  <c r="T137" i="1" s="1"/>
  <c r="A137" i="1"/>
  <c r="A138" i="1" s="1"/>
  <c r="M136" i="1"/>
  <c r="M147" i="1" s="1"/>
  <c r="J136" i="1"/>
  <c r="H136" i="1"/>
  <c r="U134" i="1"/>
  <c r="S134" i="1"/>
  <c r="R134" i="1"/>
  <c r="N134" i="1"/>
  <c r="L134" i="1"/>
  <c r="K134" i="1"/>
  <c r="M133" i="1"/>
  <c r="J133" i="1"/>
  <c r="T133" i="1" s="1"/>
  <c r="J132" i="1"/>
  <c r="T132" i="1" s="1"/>
  <c r="T131" i="1"/>
  <c r="J131" i="1"/>
  <c r="T130" i="1"/>
  <c r="J130" i="1"/>
  <c r="J129" i="1"/>
  <c r="T129" i="1" s="1"/>
  <c r="H129" i="1"/>
  <c r="H134" i="1" s="1"/>
  <c r="J128" i="1"/>
  <c r="T128" i="1" s="1"/>
  <c r="I128" i="1"/>
  <c r="J127" i="1"/>
  <c r="T127" i="1" s="1"/>
  <c r="Q126" i="1"/>
  <c r="Q134" i="1" s="1"/>
  <c r="O126" i="1"/>
  <c r="O134" i="1" s="1"/>
  <c r="J126" i="1"/>
  <c r="J125" i="1"/>
  <c r="T125" i="1" s="1"/>
  <c r="J124" i="1"/>
  <c r="T124" i="1" s="1"/>
  <c r="T123" i="1"/>
  <c r="M123" i="1"/>
  <c r="J123" i="1"/>
  <c r="A123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T122" i="1"/>
  <c r="J122" i="1"/>
  <c r="T121" i="1"/>
  <c r="M121" i="1"/>
  <c r="J121" i="1"/>
  <c r="T120" i="1"/>
  <c r="M120" i="1"/>
  <c r="J120" i="1"/>
  <c r="T119" i="1"/>
  <c r="M119" i="1"/>
  <c r="M134" i="1" s="1"/>
  <c r="J119" i="1"/>
  <c r="T118" i="1"/>
  <c r="J118" i="1"/>
  <c r="J117" i="1"/>
  <c r="T117" i="1" s="1"/>
  <c r="M116" i="1"/>
  <c r="J116" i="1"/>
  <c r="T116" i="1" s="1"/>
  <c r="M115" i="1"/>
  <c r="J115" i="1"/>
  <c r="T115" i="1" s="1"/>
  <c r="M114" i="1"/>
  <c r="J114" i="1"/>
  <c r="T114" i="1" s="1"/>
  <c r="M113" i="1"/>
  <c r="J113" i="1"/>
  <c r="T113" i="1" s="1"/>
  <c r="A113" i="1"/>
  <c r="A114" i="1" s="1"/>
  <c r="A115" i="1" s="1"/>
  <c r="A116" i="1" s="1"/>
  <c r="A117" i="1" s="1"/>
  <c r="A118" i="1" s="1"/>
  <c r="A119" i="1" s="1"/>
  <c r="A120" i="1" s="1"/>
  <c r="A121" i="1" s="1"/>
  <c r="A122" i="1" s="1"/>
  <c r="M112" i="1"/>
  <c r="J112" i="1"/>
  <c r="T112" i="1" s="1"/>
  <c r="U110" i="1"/>
  <c r="S110" i="1"/>
  <c r="R110" i="1"/>
  <c r="Q110" i="1"/>
  <c r="N110" i="1"/>
  <c r="L110" i="1"/>
  <c r="K110" i="1"/>
  <c r="H110" i="1"/>
  <c r="T109" i="1"/>
  <c r="J109" i="1"/>
  <c r="T108" i="1"/>
  <c r="J108" i="1"/>
  <c r="M107" i="1"/>
  <c r="J107" i="1"/>
  <c r="T107" i="1" s="1"/>
  <c r="M106" i="1"/>
  <c r="J106" i="1"/>
  <c r="T106" i="1" s="1"/>
  <c r="J105" i="1"/>
  <c r="T105" i="1" s="1"/>
  <c r="M104" i="1"/>
  <c r="J104" i="1"/>
  <c r="T104" i="1" s="1"/>
  <c r="M103" i="1"/>
  <c r="J103" i="1"/>
  <c r="T103" i="1" s="1"/>
  <c r="J102" i="1"/>
  <c r="T102" i="1" s="1"/>
  <c r="T101" i="1"/>
  <c r="M101" i="1"/>
  <c r="J101" i="1"/>
  <c r="A101" i="1"/>
  <c r="A102" i="1" s="1"/>
  <c r="A103" i="1" s="1"/>
  <c r="A104" i="1" s="1"/>
  <c r="A105" i="1" s="1"/>
  <c r="A106" i="1" s="1"/>
  <c r="A107" i="1" s="1"/>
  <c r="A108" i="1" s="1"/>
  <c r="A109" i="1" s="1"/>
  <c r="O100" i="1"/>
  <c r="O110" i="1" s="1"/>
  <c r="M100" i="1"/>
  <c r="J100" i="1"/>
  <c r="T100" i="1" s="1"/>
  <c r="A100" i="1"/>
  <c r="AA99" i="1"/>
  <c r="M99" i="1"/>
  <c r="M110" i="1" s="1"/>
  <c r="J99" i="1"/>
  <c r="U97" i="1"/>
  <c r="S97" i="1"/>
  <c r="R97" i="1"/>
  <c r="Q97" i="1"/>
  <c r="O97" i="1"/>
  <c r="N97" i="1"/>
  <c r="M97" i="1"/>
  <c r="L97" i="1"/>
  <c r="K97" i="1"/>
  <c r="H97" i="1"/>
  <c r="J96" i="1"/>
  <c r="T96" i="1" s="1"/>
  <c r="J95" i="1"/>
  <c r="T95" i="1" s="1"/>
  <c r="T97" i="1" s="1"/>
  <c r="U93" i="1"/>
  <c r="S93" i="1"/>
  <c r="R93" i="1"/>
  <c r="Q93" i="1"/>
  <c r="O93" i="1"/>
  <c r="N93" i="1"/>
  <c r="M93" i="1"/>
  <c r="L93" i="1"/>
  <c r="K93" i="1"/>
  <c r="H93" i="1"/>
  <c r="J92" i="1"/>
  <c r="T92" i="1" s="1"/>
  <c r="T91" i="1"/>
  <c r="J91" i="1"/>
  <c r="T90" i="1"/>
  <c r="J90" i="1"/>
  <c r="J89" i="1"/>
  <c r="T89" i="1" s="1"/>
  <c r="M88" i="1"/>
  <c r="J88" i="1"/>
  <c r="T88" i="1" s="1"/>
  <c r="A88" i="1"/>
  <c r="A89" i="1" s="1"/>
  <c r="A90" i="1" s="1"/>
  <c r="A91" i="1" s="1"/>
  <c r="A92" i="1" s="1"/>
  <c r="J87" i="1"/>
  <c r="T87" i="1" s="1"/>
  <c r="S85" i="1"/>
  <c r="R85" i="1"/>
  <c r="Q85" i="1"/>
  <c r="O85" i="1"/>
  <c r="N85" i="1"/>
  <c r="L85" i="1"/>
  <c r="K85" i="1"/>
  <c r="J84" i="1"/>
  <c r="T84" i="1" s="1"/>
  <c r="T83" i="1"/>
  <c r="J83" i="1"/>
  <c r="T82" i="1"/>
  <c r="J82" i="1"/>
  <c r="T81" i="1"/>
  <c r="J81" i="1"/>
  <c r="J80" i="1"/>
  <c r="T80" i="1" s="1"/>
  <c r="T79" i="1"/>
  <c r="J79" i="1"/>
  <c r="T78" i="1"/>
  <c r="J78" i="1"/>
  <c r="J77" i="1"/>
  <c r="T77" i="1" s="1"/>
  <c r="J76" i="1"/>
  <c r="T76" i="1" s="1"/>
  <c r="T75" i="1"/>
  <c r="J75" i="1"/>
  <c r="T74" i="1"/>
  <c r="M74" i="1"/>
  <c r="J74" i="1"/>
  <c r="T73" i="1"/>
  <c r="J73" i="1"/>
  <c r="H73" i="1"/>
  <c r="H85" i="1" s="1"/>
  <c r="T72" i="1"/>
  <c r="J72" i="1"/>
  <c r="T71" i="1"/>
  <c r="J71" i="1"/>
  <c r="J70" i="1"/>
  <c r="T70" i="1" s="1"/>
  <c r="T69" i="1"/>
  <c r="J69" i="1"/>
  <c r="T68" i="1"/>
  <c r="J68" i="1"/>
  <c r="J67" i="1"/>
  <c r="T67" i="1" s="1"/>
  <c r="J66" i="1"/>
  <c r="T66" i="1" s="1"/>
  <c r="T65" i="1"/>
  <c r="J65" i="1"/>
  <c r="T64" i="1"/>
  <c r="M64" i="1"/>
  <c r="M85" i="1" s="1"/>
  <c r="J64" i="1"/>
  <c r="T63" i="1"/>
  <c r="J63" i="1"/>
  <c r="T62" i="1"/>
  <c r="J62" i="1"/>
  <c r="J61" i="1"/>
  <c r="T61" i="1" s="1"/>
  <c r="T60" i="1"/>
  <c r="J60" i="1"/>
  <c r="A60" i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T59" i="1"/>
  <c r="J59" i="1"/>
  <c r="A59" i="1"/>
  <c r="T58" i="1"/>
  <c r="J58" i="1"/>
  <c r="U56" i="1"/>
  <c r="S56" i="1"/>
  <c r="R56" i="1"/>
  <c r="Q56" i="1"/>
  <c r="O56" i="1"/>
  <c r="N56" i="1"/>
  <c r="M56" i="1"/>
  <c r="L56" i="1"/>
  <c r="K56" i="1"/>
  <c r="H56" i="1"/>
  <c r="H55" i="1"/>
  <c r="J55" i="1" s="1"/>
  <c r="T55" i="1" s="1"/>
  <c r="M54" i="1"/>
  <c r="J54" i="1"/>
  <c r="T54" i="1" s="1"/>
  <c r="T53" i="1"/>
  <c r="J53" i="1"/>
  <c r="J52" i="1"/>
  <c r="T52" i="1" s="1"/>
  <c r="T51" i="1"/>
  <c r="J51" i="1"/>
  <c r="J50" i="1"/>
  <c r="T50" i="1" s="1"/>
  <c r="T49" i="1"/>
  <c r="J49" i="1"/>
  <c r="J48" i="1"/>
  <c r="T48" i="1" s="1"/>
  <c r="T47" i="1"/>
  <c r="J47" i="1"/>
  <c r="J46" i="1"/>
  <c r="T46" i="1" s="1"/>
  <c r="M45" i="1"/>
  <c r="J45" i="1"/>
  <c r="T45" i="1" s="1"/>
  <c r="A45" i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M44" i="1"/>
  <c r="J44" i="1"/>
  <c r="T44" i="1" s="1"/>
  <c r="T56" i="1" s="1"/>
  <c r="U42" i="1"/>
  <c r="S42" i="1"/>
  <c r="R42" i="1"/>
  <c r="Q42" i="1"/>
  <c r="O42" i="1"/>
  <c r="N42" i="1"/>
  <c r="M42" i="1"/>
  <c r="L42" i="1"/>
  <c r="K42" i="1"/>
  <c r="H42" i="1"/>
  <c r="J41" i="1"/>
  <c r="T41" i="1" s="1"/>
  <c r="H40" i="1"/>
  <c r="J40" i="1" s="1"/>
  <c r="T40" i="1" s="1"/>
  <c r="H39" i="1"/>
  <c r="J39" i="1" s="1"/>
  <c r="T39" i="1" s="1"/>
  <c r="A39" i="1"/>
  <c r="A40" i="1" s="1"/>
  <c r="A41" i="1" s="1"/>
  <c r="H38" i="1"/>
  <c r="J38" i="1" s="1"/>
  <c r="U36" i="1"/>
  <c r="S36" i="1"/>
  <c r="R36" i="1"/>
  <c r="Q36" i="1"/>
  <c r="O36" i="1"/>
  <c r="N36" i="1"/>
  <c r="M36" i="1"/>
  <c r="L36" i="1"/>
  <c r="K36" i="1"/>
  <c r="J35" i="1"/>
  <c r="T35" i="1" s="1"/>
  <c r="H35" i="1"/>
  <c r="J34" i="1"/>
  <c r="T34" i="1" s="1"/>
  <c r="H33" i="1"/>
  <c r="H36" i="1" s="1"/>
  <c r="M32" i="1"/>
  <c r="J32" i="1"/>
  <c r="T32" i="1" s="1"/>
  <c r="H32" i="1"/>
  <c r="J31" i="1"/>
  <c r="T31" i="1" s="1"/>
  <c r="H31" i="1"/>
  <c r="J30" i="1"/>
  <c r="T30" i="1" s="1"/>
  <c r="H30" i="1"/>
  <c r="J29" i="1"/>
  <c r="T29" i="1" s="1"/>
  <c r="T28" i="1"/>
  <c r="J28" i="1"/>
  <c r="A28" i="1"/>
  <c r="A29" i="1" s="1"/>
  <c r="A30" i="1" s="1"/>
  <c r="A31" i="1" s="1"/>
  <c r="A32" i="1" s="1"/>
  <c r="A33" i="1" s="1"/>
  <c r="A34" i="1" s="1"/>
  <c r="A35" i="1" s="1"/>
  <c r="J27" i="1"/>
  <c r="U25" i="1"/>
  <c r="S25" i="1"/>
  <c r="R25" i="1"/>
  <c r="Q25" i="1"/>
  <c r="O25" i="1"/>
  <c r="N25" i="1"/>
  <c r="L25" i="1"/>
  <c r="K25" i="1"/>
  <c r="H25" i="1"/>
  <c r="J24" i="1"/>
  <c r="T24" i="1" s="1"/>
  <c r="J23" i="1"/>
  <c r="T23" i="1" s="1"/>
  <c r="T22" i="1"/>
  <c r="M22" i="1"/>
  <c r="M25" i="1" s="1"/>
  <c r="J22" i="1"/>
  <c r="J25" i="1" s="1"/>
  <c r="U20" i="1"/>
  <c r="S20" i="1"/>
  <c r="R20" i="1"/>
  <c r="Q20" i="1"/>
  <c r="N20" i="1"/>
  <c r="M20" i="1"/>
  <c r="L20" i="1"/>
  <c r="K20" i="1"/>
  <c r="H20" i="1"/>
  <c r="O18" i="1"/>
  <c r="O20" i="1" s="1"/>
  <c r="J18" i="1"/>
  <c r="T18" i="1" s="1"/>
  <c r="T20" i="1" s="1"/>
  <c r="U16" i="1"/>
  <c r="S16" i="1"/>
  <c r="R16" i="1"/>
  <c r="Q16" i="1"/>
  <c r="N16" i="1"/>
  <c r="L16" i="1"/>
  <c r="K16" i="1"/>
  <c r="H16" i="1"/>
  <c r="J15" i="1"/>
  <c r="T15" i="1" s="1"/>
  <c r="J14" i="1"/>
  <c r="J16" i="1" s="1"/>
  <c r="T13" i="1"/>
  <c r="O12" i="1"/>
  <c r="O16" i="1" s="1"/>
  <c r="M12" i="1"/>
  <c r="M16" i="1" s="1"/>
  <c r="J12" i="1"/>
  <c r="U10" i="1"/>
  <c r="S10" i="1"/>
  <c r="R10" i="1"/>
  <c r="Q10" i="1"/>
  <c r="O10" i="1"/>
  <c r="N10" i="1"/>
  <c r="M10" i="1"/>
  <c r="L10" i="1"/>
  <c r="J10" i="1"/>
  <c r="H10" i="1"/>
  <c r="J9" i="1"/>
  <c r="T9" i="1" s="1"/>
  <c r="K8" i="1"/>
  <c r="K10" i="1" s="1"/>
  <c r="J8" i="1"/>
  <c r="T8" i="1" s="1"/>
  <c r="A8" i="1"/>
  <c r="A9" i="1" s="1"/>
  <c r="J7" i="1"/>
  <c r="T7" i="1" s="1"/>
  <c r="A7" i="1"/>
  <c r="T6" i="1"/>
  <c r="J6" i="1"/>
  <c r="A6" i="1"/>
  <c r="T5" i="1"/>
  <c r="J5" i="1"/>
  <c r="O234" i="1" l="1"/>
  <c r="T10" i="1"/>
  <c r="T25" i="1"/>
  <c r="T38" i="1"/>
  <c r="T42" i="1" s="1"/>
  <c r="J42" i="1"/>
  <c r="T85" i="1"/>
  <c r="A234" i="1"/>
  <c r="J20" i="1"/>
  <c r="H190" i="1"/>
  <c r="J184" i="1"/>
  <c r="T184" i="1" s="1"/>
  <c r="J233" i="1"/>
  <c r="T221" i="1"/>
  <c r="Z5" i="1"/>
  <c r="T14" i="1"/>
  <c r="J33" i="1"/>
  <c r="T33" i="1" s="1"/>
  <c r="J56" i="1"/>
  <c r="R234" i="1"/>
  <c r="T223" i="1"/>
  <c r="T229" i="1"/>
  <c r="J110" i="1"/>
  <c r="T99" i="1"/>
  <c r="T110" i="1" s="1"/>
  <c r="T12" i="1"/>
  <c r="J85" i="1"/>
  <c r="J97" i="1"/>
  <c r="H147" i="1"/>
  <c r="H179" i="1"/>
  <c r="J171" i="1"/>
  <c r="K234" i="1"/>
  <c r="J93" i="1"/>
  <c r="T27" i="1"/>
  <c r="T36" i="1" s="1"/>
  <c r="T93" i="1"/>
  <c r="T126" i="1"/>
  <c r="T134" i="1" s="1"/>
  <c r="J134" i="1"/>
  <c r="J147" i="1"/>
  <c r="T136" i="1"/>
  <c r="T147" i="1" s="1"/>
  <c r="T190" i="1"/>
  <c r="M190" i="1"/>
  <c r="M234" i="1" s="1"/>
  <c r="J190" i="1"/>
  <c r="H234" i="1"/>
  <c r="T228" i="1"/>
  <c r="L234" i="1"/>
  <c r="Q234" i="1"/>
  <c r="T192" i="1"/>
  <c r="T202" i="1" s="1"/>
  <c r="J195" i="1"/>
  <c r="T195" i="1" s="1"/>
  <c r="J202" i="1" l="1"/>
  <c r="T171" i="1"/>
  <c r="T179" i="1" s="1"/>
  <c r="J179" i="1"/>
  <c r="J234" i="1" s="1"/>
  <c r="H236" i="1" s="1"/>
  <c r="T233" i="1"/>
  <c r="T234" i="1" s="1"/>
  <c r="T16" i="1"/>
  <c r="J36" i="1"/>
</calcChain>
</file>

<file path=xl/sharedStrings.xml><?xml version="1.0" encoding="utf-8"?>
<sst xmlns="http://schemas.openxmlformats.org/spreadsheetml/2006/main" count="995" uniqueCount="887">
  <si>
    <t xml:space="preserve">DISCOVER PAKISTAN </t>
  </si>
  <si>
    <t>Salary Sheet for the Month of September-2026</t>
  </si>
  <si>
    <t>Sr#</t>
  </si>
  <si>
    <t>EMPLOYEE CODE</t>
  </si>
  <si>
    <t>NAME</t>
  </si>
  <si>
    <t>FATHER NAME / HUSBAND NAME</t>
  </si>
  <si>
    <t>DESIGNATION</t>
  </si>
  <si>
    <t xml:space="preserve">CNIC No. </t>
  </si>
  <si>
    <t>DATE OF JOINING</t>
  </si>
  <si>
    <t>GROSS SALARY</t>
  </si>
  <si>
    <t>NO. OF DAYS</t>
  </si>
  <si>
    <t>NET SALARY</t>
  </si>
  <si>
    <t>FUEL / TRAV./ Mobile</t>
  </si>
  <si>
    <t>INCENTIVE</t>
  </si>
  <si>
    <t>LOAN</t>
  </si>
  <si>
    <t>LOAN Deduction/
Fine</t>
  </si>
  <si>
    <t>ADVANCE SALARY</t>
  </si>
  <si>
    <t>FORM #</t>
  </si>
  <si>
    <t>Food Bills</t>
  </si>
  <si>
    <t>SALARY PAID</t>
  </si>
  <si>
    <t>WHT Amount</t>
  </si>
  <si>
    <t>SALARY PAYABLE</t>
  </si>
  <si>
    <t>SIGNATURE</t>
  </si>
  <si>
    <t>BANK ACCOUNT NO.</t>
  </si>
  <si>
    <t>Other Bank Account</t>
  </si>
  <si>
    <t>UBL ACCOUNT</t>
  </si>
  <si>
    <t>Salary Increment Remarks</t>
  </si>
  <si>
    <t xml:space="preserve">General Management </t>
  </si>
  <si>
    <t>DP1001</t>
  </si>
  <si>
    <t>Mukhter Ahmed</t>
  </si>
  <si>
    <t xml:space="preserve">Atta Muhammad </t>
  </si>
  <si>
    <t xml:space="preserve">Director Legal </t>
  </si>
  <si>
    <t>34402-1637242-1</t>
  </si>
  <si>
    <t>Tariq Nazir</t>
  </si>
  <si>
    <t>Nazir Ahmed</t>
  </si>
  <si>
    <t>Director Enforcement,Corporate &amp; Expansion</t>
  </si>
  <si>
    <t>36303-0944958-1</t>
  </si>
  <si>
    <t>DP1002</t>
  </si>
  <si>
    <t>Waqas Hassan</t>
  </si>
  <si>
    <t>Muhamamd Hassan</t>
  </si>
  <si>
    <t xml:space="preserve">Producer / Coordinator </t>
  </si>
  <si>
    <t>35201-8591362-1</t>
  </si>
  <si>
    <t>Mehak Mushtaq</t>
  </si>
  <si>
    <t>Mushtaq Hussain</t>
  </si>
  <si>
    <t>Manager Coordination</t>
  </si>
  <si>
    <t>34603-9026805-8</t>
  </si>
  <si>
    <t>DP1004</t>
  </si>
  <si>
    <t>Kiran</t>
  </si>
  <si>
    <t xml:space="preserve">Muhammad Asghar </t>
  </si>
  <si>
    <t xml:space="preserve">Coordinator </t>
  </si>
  <si>
    <t>35202-4171050-0</t>
  </si>
  <si>
    <t>SALES / MARKETING &amp; PR</t>
  </si>
  <si>
    <t>DP1005</t>
  </si>
  <si>
    <t xml:space="preserve">Bilal Khalid Qazi </t>
  </si>
  <si>
    <t>Khalid Ismail Qazi</t>
  </si>
  <si>
    <t>CMO</t>
  </si>
  <si>
    <t>35202-6192098-5</t>
  </si>
  <si>
    <t>form pending(online transfer)</t>
  </si>
  <si>
    <t>DP1006</t>
  </si>
  <si>
    <t>Aqeela Azad</t>
  </si>
  <si>
    <t>Wife of Bilal SB</t>
  </si>
  <si>
    <t>37405-8009317-0</t>
  </si>
  <si>
    <t>DP1007</t>
  </si>
  <si>
    <t xml:space="preserve">Syed Mobashir Moiz </t>
  </si>
  <si>
    <t xml:space="preserve">Syed Moiz Ul Haq </t>
  </si>
  <si>
    <t>GM Sales (Karachi-Sindh)</t>
  </si>
  <si>
    <t>42201-0729238-1</t>
  </si>
  <si>
    <t>DP1008</t>
  </si>
  <si>
    <t>Faiza Mubashir</t>
  </si>
  <si>
    <t>Wife of Mobashir</t>
  </si>
  <si>
    <t>42201-9220150-2</t>
  </si>
  <si>
    <t>DISTRIBUTION</t>
  </si>
  <si>
    <t>DP1010</t>
  </si>
  <si>
    <t xml:space="preserve">Naveed Akhtar </t>
  </si>
  <si>
    <t xml:space="preserve">Muhammad Yaseen Butt </t>
  </si>
  <si>
    <t xml:space="preserve">Communication Manager </t>
  </si>
  <si>
    <t>35202-0962327-3</t>
  </si>
  <si>
    <t xml:space="preserve">ARCHIVE </t>
  </si>
  <si>
    <t>DP1011</t>
  </si>
  <si>
    <t xml:space="preserve">Ali Kashif Shahzad </t>
  </si>
  <si>
    <t xml:space="preserve">Maqssod Ahmad </t>
  </si>
  <si>
    <t xml:space="preserve">Archive Manager </t>
  </si>
  <si>
    <t>35202-2396811-3</t>
  </si>
  <si>
    <t>DP1012</t>
  </si>
  <si>
    <t>Rana Muhammad Arslan</t>
  </si>
  <si>
    <t>Rana Muhammad Hanif</t>
  </si>
  <si>
    <t>Archive Officer</t>
  </si>
  <si>
    <t>35201-69775461-1</t>
  </si>
  <si>
    <t>DP1013</t>
  </si>
  <si>
    <t>Babar Rasool</t>
  </si>
  <si>
    <t>Ghulam Rasool</t>
  </si>
  <si>
    <t>35301-2340228-3</t>
  </si>
  <si>
    <t>TRANSMISSION</t>
  </si>
  <si>
    <t>DP1014</t>
  </si>
  <si>
    <t xml:space="preserve">Hashmat Ali </t>
  </si>
  <si>
    <t>Transmission Head</t>
  </si>
  <si>
    <t>35202-5102551-3</t>
  </si>
  <si>
    <t>DP1015</t>
  </si>
  <si>
    <t xml:space="preserve">Usama Yousaf </t>
  </si>
  <si>
    <t xml:space="preserve">Muhamamd Yousaf </t>
  </si>
  <si>
    <t>Assistant CTS Manager</t>
  </si>
  <si>
    <t>35202-9649071-3</t>
  </si>
  <si>
    <t>DP1016</t>
  </si>
  <si>
    <t xml:space="preserve">Muhammad Rizwan </t>
  </si>
  <si>
    <t xml:space="preserve">Muhammad Ilyas </t>
  </si>
  <si>
    <t xml:space="preserve">CTS Officer </t>
  </si>
  <si>
    <t>35201-3229831-7</t>
  </si>
  <si>
    <t>DP1017</t>
  </si>
  <si>
    <t>Saqib Aslam</t>
  </si>
  <si>
    <t>Ch. Muhammad Aslam</t>
  </si>
  <si>
    <t>Transmission Officer</t>
  </si>
  <si>
    <t>35202-9793097-3</t>
  </si>
  <si>
    <t>PKR 5000 INCREASED 01/08/2026</t>
  </si>
  <si>
    <t>DP1018</t>
  </si>
  <si>
    <t xml:space="preserve">Muhammad Ibrahim Naeem </t>
  </si>
  <si>
    <t xml:space="preserve">Muhammad Ibrahim </t>
  </si>
  <si>
    <t>35200-5989572-9</t>
  </si>
  <si>
    <t>DP1019</t>
  </si>
  <si>
    <t>Touseef Danish</t>
  </si>
  <si>
    <t>Muhammad Nunir Ahmed</t>
  </si>
  <si>
    <t>35202-9712004-1</t>
  </si>
  <si>
    <t>DP1021</t>
  </si>
  <si>
    <t xml:space="preserve">Hammad Ali </t>
  </si>
  <si>
    <t>35202-9140358-5</t>
  </si>
  <si>
    <t>PKR 3000 INCREASED 01/08/2026</t>
  </si>
  <si>
    <t>Muhammad Shahroz</t>
  </si>
  <si>
    <t>Muhammad Sharif</t>
  </si>
  <si>
    <t>35201-7236154-3</t>
  </si>
  <si>
    <t>DP1022</t>
  </si>
  <si>
    <t>Syed Muhammad Hussain Ali Zadi</t>
  </si>
  <si>
    <t xml:space="preserve">Syed Riaz Ul Hassan Zadi </t>
  </si>
  <si>
    <t>35303-9174706-9</t>
  </si>
  <si>
    <t>DESIGNING / MAKE UP</t>
  </si>
  <si>
    <t>DP1023</t>
  </si>
  <si>
    <t xml:space="preserve">Amir Vicky </t>
  </si>
  <si>
    <t xml:space="preserve">Vicky Masih </t>
  </si>
  <si>
    <t>Make-up Artist</t>
  </si>
  <si>
    <t>35202-1368446-5</t>
  </si>
  <si>
    <t>PKR 5000 increased 01/07/2026</t>
  </si>
  <si>
    <t>DP1024</t>
  </si>
  <si>
    <t>Azeem khan</t>
  </si>
  <si>
    <t>Junior Make-up Artist</t>
  </si>
  <si>
    <t>35202-7707084-1</t>
  </si>
  <si>
    <t xml:space="preserve">Muhammad Ahtisham </t>
  </si>
  <si>
    <t>Muhammad Ramzan</t>
  </si>
  <si>
    <t>Wardrobe Assistant</t>
  </si>
  <si>
    <t>35202-5700775-7</t>
  </si>
  <si>
    <t>5000 increased 01/09/2026</t>
  </si>
  <si>
    <t>DP1025</t>
  </si>
  <si>
    <t>Iram Muzaffar</t>
  </si>
  <si>
    <t>Ch. Muhammad Muzaffar</t>
  </si>
  <si>
    <t>Stylist (Part Time)</t>
  </si>
  <si>
    <t>35202-0546223-6</t>
  </si>
  <si>
    <t xml:space="preserve">PRODUCTION </t>
  </si>
  <si>
    <t>DP1026</t>
  </si>
  <si>
    <t xml:space="preserve">Ghulam Abbas </t>
  </si>
  <si>
    <t>Noor Elahi</t>
  </si>
  <si>
    <t>Head of Programming</t>
  </si>
  <si>
    <t>36402-0791531-9</t>
  </si>
  <si>
    <t>DP1027</t>
  </si>
  <si>
    <t>Zeeshan Akhtar Butt</t>
  </si>
  <si>
    <t>Akhter Butt</t>
  </si>
  <si>
    <t>Producer</t>
  </si>
  <si>
    <t>35202-8357956-5</t>
  </si>
  <si>
    <t>DP1028</t>
  </si>
  <si>
    <t>Fakhar Zaman Ashraf</t>
  </si>
  <si>
    <t>Muhammad Ashraf</t>
  </si>
  <si>
    <t>36102-3732605-1</t>
  </si>
  <si>
    <t>form pend (online paid)</t>
  </si>
  <si>
    <t>Muhammad Khaqan Balaggan</t>
  </si>
  <si>
    <t>Muhammad Mansha</t>
  </si>
  <si>
    <t>Panel Producer</t>
  </si>
  <si>
    <t>35202-9141264-7</t>
  </si>
  <si>
    <t>53117000166161  (HBL)</t>
  </si>
  <si>
    <t>DP1029</t>
  </si>
  <si>
    <t>Tabish Noor</t>
  </si>
  <si>
    <t>Noor Khan</t>
  </si>
  <si>
    <t>31202-9987249-1</t>
  </si>
  <si>
    <t>DP1030</t>
  </si>
  <si>
    <t>Muhammad Usman</t>
  </si>
  <si>
    <t xml:space="preserve">Muhammad Nawaz </t>
  </si>
  <si>
    <t xml:space="preserve">Producer </t>
  </si>
  <si>
    <t>35202-3271613-5</t>
  </si>
  <si>
    <t>DP1031</t>
  </si>
  <si>
    <t xml:space="preserve">Khursand Hashim </t>
  </si>
  <si>
    <t>Hashim Waheed</t>
  </si>
  <si>
    <t>35201-9438763-7</t>
  </si>
  <si>
    <t>DP1032</t>
  </si>
  <si>
    <t>Syed Fahad Kamran</t>
  </si>
  <si>
    <t>Syed Kamran Shafique Ahmad</t>
  </si>
  <si>
    <t>42501-6081813-9</t>
  </si>
  <si>
    <t>DP1033</t>
  </si>
  <si>
    <t xml:space="preserve">Iqra Maqsood </t>
  </si>
  <si>
    <t xml:space="preserve">Associate Producer </t>
  </si>
  <si>
    <t>35202-5688781-6</t>
  </si>
  <si>
    <t>Maisha Aslam</t>
  </si>
  <si>
    <t>Ch. Aslam Hayyat</t>
  </si>
  <si>
    <t xml:space="preserve">AI Content Producer </t>
  </si>
  <si>
    <t>35202-6415277-0</t>
  </si>
  <si>
    <t>DP1034</t>
  </si>
  <si>
    <t>Umair Manzoor</t>
  </si>
  <si>
    <t>Manzoor Ul Haq</t>
  </si>
  <si>
    <t>31203-2131966-7</t>
  </si>
  <si>
    <t>DP1035</t>
  </si>
  <si>
    <t>Abdul Mueez</t>
  </si>
  <si>
    <t>Shahzad Abdur Rehman</t>
  </si>
  <si>
    <t>35200-0856791-9</t>
  </si>
  <si>
    <t>15000 increased 01/06/2026</t>
  </si>
  <si>
    <t>News Roon</t>
  </si>
  <si>
    <t>DP1039</t>
  </si>
  <si>
    <t xml:space="preserve">Anwar Hussain Shah </t>
  </si>
  <si>
    <t>Nazar Hussain Shah</t>
  </si>
  <si>
    <t>Head of Content</t>
  </si>
  <si>
    <t>38302-2802198-1</t>
  </si>
  <si>
    <t>DP1040</t>
  </si>
  <si>
    <t xml:space="preserve">Muhammad Naveed Qaiser </t>
  </si>
  <si>
    <t>Ch. Anwar Hussain</t>
  </si>
  <si>
    <t>Head of News</t>
  </si>
  <si>
    <t>35202-5915839-1</t>
  </si>
  <si>
    <t>DP1041</t>
  </si>
  <si>
    <t>Muhammad Sammad Khan</t>
  </si>
  <si>
    <t>Zafar Ali Khan</t>
  </si>
  <si>
    <t xml:space="preserve">News Producer </t>
  </si>
  <si>
    <t>35202-1944061-5</t>
  </si>
  <si>
    <t>DP1037</t>
  </si>
  <si>
    <t>Ali Zain Zafar</t>
  </si>
  <si>
    <t>Zafar Iqbal</t>
  </si>
  <si>
    <t>Producer News</t>
  </si>
  <si>
    <t>35501-0541916-5</t>
  </si>
  <si>
    <t>DP1038</t>
  </si>
  <si>
    <t>Sher Bano</t>
  </si>
  <si>
    <t>Muhammad Javed Khan</t>
  </si>
  <si>
    <t>32303-0622745-6</t>
  </si>
  <si>
    <t>DP1036</t>
  </si>
  <si>
    <t>Asim Mumtaz</t>
  </si>
  <si>
    <t>Mumtaz Ahmad</t>
  </si>
  <si>
    <t>Associate Producer News</t>
  </si>
  <si>
    <t>42201-9257840-7</t>
  </si>
  <si>
    <t>DP1073</t>
  </si>
  <si>
    <t>Rizwan Waseen</t>
  </si>
  <si>
    <t>Waseem Ahmad</t>
  </si>
  <si>
    <t xml:space="preserve">NLE / Associate Producer </t>
  </si>
  <si>
    <t>35201-2058857-9</t>
  </si>
  <si>
    <t>DP1042</t>
  </si>
  <si>
    <t>Hafiz Shahzad Ahmed</t>
  </si>
  <si>
    <t xml:space="preserve">Nazir Ahmed </t>
  </si>
  <si>
    <t>Assignments Incharge</t>
  </si>
  <si>
    <t>35202-3872460-3</t>
  </si>
  <si>
    <t>DP1043</t>
  </si>
  <si>
    <t xml:space="preserve">Khurram Khalid </t>
  </si>
  <si>
    <t xml:space="preserve">Khalid Aziz </t>
  </si>
  <si>
    <t xml:space="preserve">Assignment Editor </t>
  </si>
  <si>
    <t>35202-1535732-9</t>
  </si>
  <si>
    <t>DP1044</t>
  </si>
  <si>
    <t xml:space="preserve">Muhammad Hussain Shah </t>
  </si>
  <si>
    <t xml:space="preserve">Ali Hasnian Shah </t>
  </si>
  <si>
    <t>33201-1358373-5</t>
  </si>
  <si>
    <t>DP1045</t>
  </si>
  <si>
    <t>Ateeq Majeed</t>
  </si>
  <si>
    <t xml:space="preserve">Malik Abdul Majeed </t>
  </si>
  <si>
    <t xml:space="preserve">Senior Reporter </t>
  </si>
  <si>
    <t>34102-0397964-3</t>
  </si>
  <si>
    <t>DP1046</t>
  </si>
  <si>
    <t xml:space="preserve">Amjad Khan </t>
  </si>
  <si>
    <t xml:space="preserve">Latif Shah </t>
  </si>
  <si>
    <t xml:space="preserve">Bureau Chief Peshawar </t>
  </si>
  <si>
    <t>42401-1599965-7</t>
  </si>
  <si>
    <t>DP1047</t>
  </si>
  <si>
    <t xml:space="preserve">Khurram Shehzad </t>
  </si>
  <si>
    <t xml:space="preserve">Muhammad Hanif </t>
  </si>
  <si>
    <t xml:space="preserve">Content Producer </t>
  </si>
  <si>
    <t>35201-6320501-3</t>
  </si>
  <si>
    <t>DP1048</t>
  </si>
  <si>
    <t xml:space="preserve">Syed Rashid Yazdani </t>
  </si>
  <si>
    <t xml:space="preserve">Syed Abdul Rasheed Yazdani </t>
  </si>
  <si>
    <t xml:space="preserve">Sr. Content Editor </t>
  </si>
  <si>
    <t>35202-1740800-7</t>
  </si>
  <si>
    <t>DP1121</t>
  </si>
  <si>
    <t>Muhammad Umer Zaheer</t>
  </si>
  <si>
    <t xml:space="preserve">Muhammad Zaheer </t>
  </si>
  <si>
    <t xml:space="preserve">Web Content Writer </t>
  </si>
  <si>
    <t>35202-7252088-9</t>
  </si>
  <si>
    <t>DP1049</t>
  </si>
  <si>
    <t xml:space="preserve">Abdul Rehman </t>
  </si>
  <si>
    <t>Javaid Ahmad</t>
  </si>
  <si>
    <t>NLE</t>
  </si>
  <si>
    <t>35200-1445643-3</t>
  </si>
  <si>
    <t>15,000 increased 01/08/2026</t>
  </si>
  <si>
    <t>DP1050</t>
  </si>
  <si>
    <t xml:space="preserve">Shuja Iqbal Shahid </t>
  </si>
  <si>
    <t>Muhammad Haneef</t>
  </si>
  <si>
    <t>NLE - News Room</t>
  </si>
  <si>
    <t>35201-1269148-1</t>
  </si>
  <si>
    <t>DP1062</t>
  </si>
  <si>
    <t>Syed Kashif Tahir</t>
  </si>
  <si>
    <t>Syed Tahir Shah</t>
  </si>
  <si>
    <t>35202-2541261-7</t>
  </si>
  <si>
    <t>DP1066</t>
  </si>
  <si>
    <t xml:space="preserve">Jabeer Sajid </t>
  </si>
  <si>
    <t>Syed Sajid Ali Sajid</t>
  </si>
  <si>
    <t xml:space="preserve">NLE </t>
  </si>
  <si>
    <t>35401-9955334-7</t>
  </si>
  <si>
    <t>DP1071</t>
  </si>
  <si>
    <t xml:space="preserve">Faizan Mehboob </t>
  </si>
  <si>
    <t xml:space="preserve">Muhammad Mehboob </t>
  </si>
  <si>
    <t>31101-3981463-5</t>
  </si>
  <si>
    <t>DP1072</t>
  </si>
  <si>
    <t xml:space="preserve">Waqas Mahmood </t>
  </si>
  <si>
    <t>Sultan Mahmood</t>
  </si>
  <si>
    <t>33402-0366303-1</t>
  </si>
  <si>
    <t>DP1076</t>
  </si>
  <si>
    <t>Syed Muhammad Talha Arif</t>
  </si>
  <si>
    <t>Syed Arif Zubair</t>
  </si>
  <si>
    <t>35201-0652419-5</t>
  </si>
  <si>
    <t>DP1077</t>
  </si>
  <si>
    <t>Muhammad Hassan Raza</t>
  </si>
  <si>
    <t>Rana Hassan</t>
  </si>
  <si>
    <t>34501-5155317-7</t>
  </si>
  <si>
    <t>5,000 salary increased from 01 oct 2026</t>
  </si>
  <si>
    <t>Umar Muzammal</t>
  </si>
  <si>
    <t>Muzammal Saeed</t>
  </si>
  <si>
    <t>NLE News</t>
  </si>
  <si>
    <t>35201-7887919-5</t>
  </si>
  <si>
    <t>DP1079</t>
  </si>
  <si>
    <t>Rashid Hussain</t>
  </si>
  <si>
    <t>Talib Hussain</t>
  </si>
  <si>
    <t>13504-7643802-9</t>
  </si>
  <si>
    <t>DP1052</t>
  </si>
  <si>
    <t>Muhammad Abbas</t>
  </si>
  <si>
    <t xml:space="preserve">Tanveer Abbas </t>
  </si>
  <si>
    <t>35202-0660509-7</t>
  </si>
  <si>
    <t>DP1053</t>
  </si>
  <si>
    <t xml:space="preserve">Hafsa Ali </t>
  </si>
  <si>
    <t xml:space="preserve">Rana Nasir Ali </t>
  </si>
  <si>
    <t xml:space="preserve">Reporter </t>
  </si>
  <si>
    <t>35202-4793948-2</t>
  </si>
  <si>
    <t>-</t>
  </si>
  <si>
    <t>RESEARCHER / CONTENT</t>
  </si>
  <si>
    <t>DP1054</t>
  </si>
  <si>
    <t>Shehroz Anjum</t>
  </si>
  <si>
    <t xml:space="preserve">Riaz Anjum </t>
  </si>
  <si>
    <t>Senior Content Writer</t>
  </si>
  <si>
    <t>35102-4521262-7</t>
  </si>
  <si>
    <t>DP1055</t>
  </si>
  <si>
    <t xml:space="preserve">Muhammad Kazim </t>
  </si>
  <si>
    <t>Muhammad Azam</t>
  </si>
  <si>
    <t>Content Writer</t>
  </si>
  <si>
    <t>34104-2667590-5</t>
  </si>
  <si>
    <t>DP1056</t>
  </si>
  <si>
    <t xml:space="preserve">Sheraz Khalid </t>
  </si>
  <si>
    <t>Muhammad Khalid Javed</t>
  </si>
  <si>
    <t>35201-1344665-1</t>
  </si>
  <si>
    <t>Syeda Maria Shabbir</t>
  </si>
  <si>
    <t>Faisal Sagheer Syed</t>
  </si>
  <si>
    <t>Content Analyst</t>
  </si>
  <si>
    <t>35201-9521374-0</t>
  </si>
  <si>
    <t>DP1057</t>
  </si>
  <si>
    <t xml:space="preserve">Saqlain Raza </t>
  </si>
  <si>
    <t>Manzoor Hussain</t>
  </si>
  <si>
    <t>36302-3877027-9</t>
  </si>
  <si>
    <t>DP1058</t>
  </si>
  <si>
    <t>Muhammad Adnan Khalid</t>
  </si>
  <si>
    <t>Khalid Naeem</t>
  </si>
  <si>
    <t>Content Writer (Part Time)</t>
  </si>
  <si>
    <t>MUSIC / VOICE OVER</t>
  </si>
  <si>
    <t>DP1059</t>
  </si>
  <si>
    <t xml:space="preserve">Johar Ali </t>
  </si>
  <si>
    <t>Muhammad Afzal</t>
  </si>
  <si>
    <t xml:space="preserve">Music Composer </t>
  </si>
  <si>
    <t>35202-9951093-3</t>
  </si>
  <si>
    <t>DP1060</t>
  </si>
  <si>
    <t xml:space="preserve">Saleem Ahmad </t>
  </si>
  <si>
    <t xml:space="preserve">Bashir Ahmed </t>
  </si>
  <si>
    <t xml:space="preserve">Senior V/O Artist (Home Based) </t>
  </si>
  <si>
    <t>35202-3684585-1</t>
  </si>
  <si>
    <t>NON-LINEAR EDITOR (NLE) / DESIGNER</t>
  </si>
  <si>
    <t>DP1061</t>
  </si>
  <si>
    <t>Ali Bhatti</t>
  </si>
  <si>
    <t xml:space="preserve">Qasir Bhatti </t>
  </si>
  <si>
    <t>Operations Manager / NLE</t>
  </si>
  <si>
    <t>35202-4671545-3</t>
  </si>
  <si>
    <t>DP1063</t>
  </si>
  <si>
    <t>Tauqeer Abbas</t>
  </si>
  <si>
    <t xml:space="preserve">Talib Hussian </t>
  </si>
  <si>
    <t>42201-8016991-7</t>
  </si>
  <si>
    <t>4 &amp;53</t>
  </si>
  <si>
    <t>DP1064</t>
  </si>
  <si>
    <t>Rehman Khalid</t>
  </si>
  <si>
    <t>Noor Muhammad Khalid</t>
  </si>
  <si>
    <t>13101-6132310-1</t>
  </si>
  <si>
    <t>DP1065</t>
  </si>
  <si>
    <t xml:space="preserve">Faiq ul Islam </t>
  </si>
  <si>
    <t xml:space="preserve">Muhammad Tariq </t>
  </si>
  <si>
    <t>35200-6213455-7</t>
  </si>
  <si>
    <t>DP1067</t>
  </si>
  <si>
    <t xml:space="preserve">Mehboob Ahmed </t>
  </si>
  <si>
    <t>35202-8213860-3</t>
  </si>
  <si>
    <t>DP1068</t>
  </si>
  <si>
    <t xml:space="preserve">Mansoor Ali </t>
  </si>
  <si>
    <t xml:space="preserve">Zulfiqar Ali </t>
  </si>
  <si>
    <t>35202-8910484-3</t>
  </si>
  <si>
    <t>DP1069</t>
  </si>
  <si>
    <t xml:space="preserve">Ahsan Ikhlaq </t>
  </si>
  <si>
    <t xml:space="preserve">Muhammad Ikhlaq </t>
  </si>
  <si>
    <t>35202-2900661-3</t>
  </si>
  <si>
    <t>15000 advance shift to oct</t>
  </si>
  <si>
    <t>DP1070</t>
  </si>
  <si>
    <t>Syed Atif Hussain</t>
  </si>
  <si>
    <t>42101-8168285-5</t>
  </si>
  <si>
    <t>DP1074</t>
  </si>
  <si>
    <t xml:space="preserve">Muhammad Muheeb Ejaz </t>
  </si>
  <si>
    <t>Ejaz Ahmad</t>
  </si>
  <si>
    <t>Assistant NLE</t>
  </si>
  <si>
    <t>35202-6244334-9</t>
  </si>
  <si>
    <t>DP1078</t>
  </si>
  <si>
    <t>Muhammad Ali Sadiq</t>
  </si>
  <si>
    <t>Ghulam Sadiq</t>
  </si>
  <si>
    <t>Internee</t>
  </si>
  <si>
    <t>36302-6338931-5</t>
  </si>
  <si>
    <t>DP1080</t>
  </si>
  <si>
    <t>Ammar Afzal</t>
  </si>
  <si>
    <t>35201-5750060-3</t>
  </si>
  <si>
    <t>CAMERAMAN / DRONE OPERATOR / TECHNICAL</t>
  </si>
  <si>
    <t>DP1081</t>
  </si>
  <si>
    <t>Sher Badshah</t>
  </si>
  <si>
    <t>Zar Badshah</t>
  </si>
  <si>
    <t>DOP</t>
  </si>
  <si>
    <t>35201-1429300-5</t>
  </si>
  <si>
    <t>DP1082</t>
  </si>
  <si>
    <t>Danish Qamar</t>
  </si>
  <si>
    <t>Qamar</t>
  </si>
  <si>
    <t>Drone Operator</t>
  </si>
  <si>
    <t>35202-7291819-1</t>
  </si>
  <si>
    <t>DP1083</t>
  </si>
  <si>
    <t xml:space="preserve">Ejaz Ali </t>
  </si>
  <si>
    <t>Muhammad Arif</t>
  </si>
  <si>
    <t>Cameraman</t>
  </si>
  <si>
    <t>35202-7106231-3</t>
  </si>
  <si>
    <t>DP1084</t>
  </si>
  <si>
    <t xml:space="preserve">Shahid Ali </t>
  </si>
  <si>
    <t xml:space="preserve">Liaqat Ali </t>
  </si>
  <si>
    <t>35202-9031928-7</t>
  </si>
  <si>
    <t>DP1085</t>
  </si>
  <si>
    <t xml:space="preserve">Tahir Munir </t>
  </si>
  <si>
    <t xml:space="preserve">Muhammad Muneer Ahmed </t>
  </si>
  <si>
    <t>35202-9162010-7</t>
  </si>
  <si>
    <t>DP1086</t>
  </si>
  <si>
    <t xml:space="preserve">Muhammad Zakir </t>
  </si>
  <si>
    <t>35201-0668122-3</t>
  </si>
  <si>
    <t>DP1088</t>
  </si>
  <si>
    <t xml:space="preserve">Shan Bashir </t>
  </si>
  <si>
    <t xml:space="preserve">Bashir Masih </t>
  </si>
  <si>
    <t>Camerman /Drone Operator</t>
  </si>
  <si>
    <t>35201-3631416-7</t>
  </si>
  <si>
    <t>DP1089</t>
  </si>
  <si>
    <t xml:space="preserve">Khurram Tayyab </t>
  </si>
  <si>
    <t>Syed Tayyab Hasan Shah</t>
  </si>
  <si>
    <t>35202-9946206-9</t>
  </si>
  <si>
    <t>DP1090</t>
  </si>
  <si>
    <t>Muhammad Touseef Tanveer</t>
  </si>
  <si>
    <t>Tanveer Hussain</t>
  </si>
  <si>
    <t>35401-3452464-9</t>
  </si>
  <si>
    <t>DP1091</t>
  </si>
  <si>
    <t xml:space="preserve">Kamran Munawar </t>
  </si>
  <si>
    <t xml:space="preserve">Munawar Bhatti </t>
  </si>
  <si>
    <t>35202-59884229</t>
  </si>
  <si>
    <t>DP1092</t>
  </si>
  <si>
    <t>Azhar Sharif</t>
  </si>
  <si>
    <t>35202-3133131-1</t>
  </si>
  <si>
    <t>DP1093</t>
  </si>
  <si>
    <t>Ghanzanfar Ali Bodla</t>
  </si>
  <si>
    <t xml:space="preserve">Muhammad Anwar </t>
  </si>
  <si>
    <t>35202-5376701-1</t>
  </si>
  <si>
    <t>DP1094</t>
  </si>
  <si>
    <t>Muhammad Imran</t>
  </si>
  <si>
    <t xml:space="preserve">Rehmat Ali </t>
  </si>
  <si>
    <t>35201-5574745-7</t>
  </si>
  <si>
    <t>DP1095</t>
  </si>
  <si>
    <t xml:space="preserve">Muhammad Riaz </t>
  </si>
  <si>
    <t>Senior Camerman</t>
  </si>
  <si>
    <t>35202-2656600-1</t>
  </si>
  <si>
    <t>DP1096</t>
  </si>
  <si>
    <t>Muhammad Amjad Razzaq</t>
  </si>
  <si>
    <t xml:space="preserve">Muhammad Razzaq </t>
  </si>
  <si>
    <t>Assistant Cameraman</t>
  </si>
  <si>
    <t>35202-5194042-7</t>
  </si>
  <si>
    <t>DP1097</t>
  </si>
  <si>
    <t xml:space="preserve">Suleman Khan </t>
  </si>
  <si>
    <t>Umer Shan</t>
  </si>
  <si>
    <t>34502-0685973-9</t>
  </si>
  <si>
    <t>Rizwan Muhammad Arshad</t>
  </si>
  <si>
    <t>Muhammad Arshad Javaid</t>
  </si>
  <si>
    <t>Assistant Cameraman / Trainee</t>
  </si>
  <si>
    <t>35202-6620459-1</t>
  </si>
  <si>
    <t>DP1098</t>
  </si>
  <si>
    <t xml:space="preserve">Muhammad Faryad Ali </t>
  </si>
  <si>
    <t>Ashraf</t>
  </si>
  <si>
    <t>36502-6363069-9</t>
  </si>
  <si>
    <t>10,000 INCREAESD 01/09/2026</t>
  </si>
  <si>
    <t>DP1099</t>
  </si>
  <si>
    <t>Rana Muddasir Hassan</t>
  </si>
  <si>
    <t xml:space="preserve">Rana Bashir Ahmed </t>
  </si>
  <si>
    <t xml:space="preserve">Store In charged </t>
  </si>
  <si>
    <t>35201-9745472-9</t>
  </si>
  <si>
    <t>Muhammad Zulqarnain</t>
  </si>
  <si>
    <t>Iftikhar Ahmad</t>
  </si>
  <si>
    <t>PCR Engineer</t>
  </si>
  <si>
    <t>35202-6674066-1</t>
  </si>
  <si>
    <t>6300451279200015  (BOP)</t>
  </si>
  <si>
    <t>DP1100</t>
  </si>
  <si>
    <t xml:space="preserve">Syed Muhammad Moeed Ali </t>
  </si>
  <si>
    <t>Sarfraz Ali Naqvi</t>
  </si>
  <si>
    <t>35202-8347086-5</t>
  </si>
  <si>
    <t>DP1101</t>
  </si>
  <si>
    <t>Mufti Umar Ud Din Haider</t>
  </si>
  <si>
    <t>Mufti Ameen ud din Haider</t>
  </si>
  <si>
    <t>Studio Technical Assistant</t>
  </si>
  <si>
    <t>34101-7104373-7</t>
  </si>
  <si>
    <t>CREATIVE / ANIMATION / GRAPHICS</t>
  </si>
  <si>
    <t>DP1103</t>
  </si>
  <si>
    <t>Khalid Sadiq</t>
  </si>
  <si>
    <t xml:space="preserve">Muhamamd Sadiq </t>
  </si>
  <si>
    <t>Head of Creative</t>
  </si>
  <si>
    <t>35201-3943179-9</t>
  </si>
  <si>
    <t>DP1104</t>
  </si>
  <si>
    <t xml:space="preserve">Abid Ali </t>
  </si>
  <si>
    <t>Creative Graphic Designer &amp; Visualizer</t>
  </si>
  <si>
    <t>35201-4700274-5</t>
  </si>
  <si>
    <t>DP1105</t>
  </si>
  <si>
    <t>Ali Raza</t>
  </si>
  <si>
    <t>Mukhtar Ahmed</t>
  </si>
  <si>
    <t>Head of AI Programming</t>
  </si>
  <si>
    <t>35201-0282193-5</t>
  </si>
  <si>
    <t>DP1106</t>
  </si>
  <si>
    <t xml:space="preserve">Qasim Imtiaz </t>
  </si>
  <si>
    <t>Chaudhry Imtiaz Ali</t>
  </si>
  <si>
    <t xml:space="preserve">Motion Graphic </t>
  </si>
  <si>
    <t>35201-3894992-3</t>
  </si>
  <si>
    <t>Muhammad Bilal Saddique</t>
  </si>
  <si>
    <t>Muhammad Saddique</t>
  </si>
  <si>
    <t>35201-3430138-7</t>
  </si>
  <si>
    <t>10197900472203 (HBL)</t>
  </si>
  <si>
    <t>DP1107</t>
  </si>
  <si>
    <t xml:space="preserve">Muhammad Asim </t>
  </si>
  <si>
    <t xml:space="preserve">Muhammad Younas </t>
  </si>
  <si>
    <t>Motion Graphic Artist (Part-Time)</t>
  </si>
  <si>
    <t>35202-4584943-3</t>
  </si>
  <si>
    <t>DP1108</t>
  </si>
  <si>
    <t>Rohail Nathaniel</t>
  </si>
  <si>
    <t>Nathaniel Rattan</t>
  </si>
  <si>
    <t>35201-8882635-3</t>
  </si>
  <si>
    <t>DP1109</t>
  </si>
  <si>
    <t xml:space="preserve">Usman Arshad </t>
  </si>
  <si>
    <t>Muhammad Arshad</t>
  </si>
  <si>
    <t>Graphic Designer</t>
  </si>
  <si>
    <t>35202-1302093-5</t>
  </si>
  <si>
    <t>Muhammad Umar Ramzan</t>
  </si>
  <si>
    <t>M Ramzan</t>
  </si>
  <si>
    <t>AI Engineer Internee</t>
  </si>
  <si>
    <t>33102-6748949-1</t>
  </si>
  <si>
    <t>PK87FAYS3216704000006225  (FAYSAL BANK)</t>
  </si>
  <si>
    <t>Tariq Mehmood</t>
  </si>
  <si>
    <t>Talib Tahir Hussain</t>
  </si>
  <si>
    <t xml:space="preserve">AI Content Creater </t>
  </si>
  <si>
    <t>36603-8060281-9</t>
  </si>
  <si>
    <t>DP1110</t>
  </si>
  <si>
    <t>Samar Abbas</t>
  </si>
  <si>
    <t>Internee Graphic Designer</t>
  </si>
  <si>
    <t>35202-6824095-5</t>
  </si>
  <si>
    <t>SOCIAL MEDIA / DIGITAL MARKETING</t>
  </si>
  <si>
    <t>DP1111</t>
  </si>
  <si>
    <t xml:space="preserve">Muhammad Zeeshan </t>
  </si>
  <si>
    <t>Muhammad Sultan</t>
  </si>
  <si>
    <t>Head of Digital Media</t>
  </si>
  <si>
    <t>35202-0583849-5</t>
  </si>
  <si>
    <t>DP1112</t>
  </si>
  <si>
    <t xml:space="preserve">Muhammad Adnan Toufique </t>
  </si>
  <si>
    <t xml:space="preserve">Muhammad Toufique </t>
  </si>
  <si>
    <t>Social Media Manager</t>
  </si>
  <si>
    <t>35202-4159644-3</t>
  </si>
  <si>
    <t>DP1114</t>
  </si>
  <si>
    <t xml:space="preserve">Muhammad Sultan Mehmood </t>
  </si>
  <si>
    <t xml:space="preserve">Asghar Mehmood </t>
  </si>
  <si>
    <t>38201-5959578-3</t>
  </si>
  <si>
    <t>DP1116</t>
  </si>
  <si>
    <t xml:space="preserve">Afrasyab Rashid </t>
  </si>
  <si>
    <t xml:space="preserve">Rashid </t>
  </si>
  <si>
    <t>35201-6597158-3</t>
  </si>
  <si>
    <t>DP1117</t>
  </si>
  <si>
    <t>Qasim Ali Shah</t>
  </si>
  <si>
    <t xml:space="preserve">Social Media Executive </t>
  </si>
  <si>
    <t>31202-4571055-7</t>
  </si>
  <si>
    <t>DP1118</t>
  </si>
  <si>
    <t>Babar Shahzad</t>
  </si>
  <si>
    <t>Muhammad Yasin</t>
  </si>
  <si>
    <t>35101-3007602-7</t>
  </si>
  <si>
    <t>DP1119</t>
  </si>
  <si>
    <t xml:space="preserve">Ali Arshad </t>
  </si>
  <si>
    <t>35202-7441962-9</t>
  </si>
  <si>
    <t>Ali Ahmad</t>
  </si>
  <si>
    <t>Muhammad Amin</t>
  </si>
  <si>
    <t>Web Developer</t>
  </si>
  <si>
    <t>42301-4730403-4</t>
  </si>
  <si>
    <t>DP1122</t>
  </si>
  <si>
    <t>Syeda Um E Zahra Kazmi</t>
  </si>
  <si>
    <t>Syed Qaiser Abbas Kazmi</t>
  </si>
  <si>
    <t>35202-9297328-6</t>
  </si>
  <si>
    <t>DP1123</t>
  </si>
  <si>
    <t>Jawad Ahmad Malik</t>
  </si>
  <si>
    <t>Malik Ijaz Ahmad</t>
  </si>
  <si>
    <t>35202-9544339-3</t>
  </si>
  <si>
    <t>Aroosa Tayyab</t>
  </si>
  <si>
    <t>Tayyab Saleem</t>
  </si>
  <si>
    <t>35202-7597044-8</t>
  </si>
  <si>
    <t>DP1124</t>
  </si>
  <si>
    <t xml:space="preserve">Asif Nazeer </t>
  </si>
  <si>
    <t xml:space="preserve">Nazeer Ahmed </t>
  </si>
  <si>
    <t>35202-2866361-1</t>
  </si>
  <si>
    <t>15,000 salary will increased from 01 oct</t>
  </si>
  <si>
    <t>DP1125</t>
  </si>
  <si>
    <t xml:space="preserve">Abaid Ur Rehman </t>
  </si>
  <si>
    <t xml:space="preserve">Muhib Ur Rehman </t>
  </si>
  <si>
    <t>Trainee</t>
  </si>
  <si>
    <t>36104-6783338-1</t>
  </si>
  <si>
    <t>10,000 increased 01/04/2026</t>
  </si>
  <si>
    <t>Ali Haider</t>
  </si>
  <si>
    <t>Shahbaz Ahmed</t>
  </si>
  <si>
    <t>33303-0316085-1</t>
  </si>
  <si>
    <t>DP1126</t>
  </si>
  <si>
    <t xml:space="preserve">Umar Sadiq </t>
  </si>
  <si>
    <t xml:space="preserve">Ghulam Sadiq </t>
  </si>
  <si>
    <t>36302-8030441-9</t>
  </si>
  <si>
    <t>Ragheeba Ahsan</t>
  </si>
  <si>
    <t>Saif Ullah</t>
  </si>
  <si>
    <t>35202-6301600-4</t>
  </si>
  <si>
    <t>Hamid Ahmad</t>
  </si>
  <si>
    <t>Sultan Ahmad Alvi</t>
  </si>
  <si>
    <t>31303-3650653-1</t>
  </si>
  <si>
    <t>20,000 increased 01/09/2026</t>
  </si>
  <si>
    <t>Zara Farooqi</t>
  </si>
  <si>
    <t>Qamar Farooqi</t>
  </si>
  <si>
    <t>Social Media Representative</t>
  </si>
  <si>
    <t>35202-1712166-2</t>
  </si>
  <si>
    <t>15,000 increased 01/09/2026</t>
  </si>
  <si>
    <t>DP1127</t>
  </si>
  <si>
    <t>Muhammad Sajid Khan</t>
  </si>
  <si>
    <t>Muhammad Arshad Khan</t>
  </si>
  <si>
    <t>36501-8270253-7</t>
  </si>
  <si>
    <t>TEAM KARACHI</t>
  </si>
  <si>
    <t>DP1128</t>
  </si>
  <si>
    <t xml:space="preserve">Fahad Feroz Anwar </t>
  </si>
  <si>
    <t>Muhammad Feroz Anwar</t>
  </si>
  <si>
    <t>Senior Program Producer</t>
  </si>
  <si>
    <t>42101-5697085-3</t>
  </si>
  <si>
    <t>DP1129</t>
  </si>
  <si>
    <t xml:space="preserve">Rafia Rafiq </t>
  </si>
  <si>
    <t>Faisal Shafi</t>
  </si>
  <si>
    <t>Anchor / Host</t>
  </si>
  <si>
    <t>42301-2997529-9</t>
  </si>
  <si>
    <t>DP1130</t>
  </si>
  <si>
    <t>Muhammad Shahan Shahid</t>
  </si>
  <si>
    <t>M Shahid Iqbal</t>
  </si>
  <si>
    <t>42201-5769062-7</t>
  </si>
  <si>
    <t>DP1131</t>
  </si>
  <si>
    <t>Javaid Ahmed Idrisi</t>
  </si>
  <si>
    <t>H A Idrisi</t>
  </si>
  <si>
    <t>42201-5160456-1</t>
  </si>
  <si>
    <t>DP1132</t>
  </si>
  <si>
    <t xml:space="preserve">Raja Imran </t>
  </si>
  <si>
    <t>Faiz Muhamamd Khan</t>
  </si>
  <si>
    <t>42301-8435000-5</t>
  </si>
  <si>
    <t>DP1133</t>
  </si>
  <si>
    <t xml:space="preserve">Danish Shaikh </t>
  </si>
  <si>
    <t xml:space="preserve">Shabbir Ahmad </t>
  </si>
  <si>
    <t xml:space="preserve">Cameraman/Drone Operator </t>
  </si>
  <si>
    <t>42401-1966125-1</t>
  </si>
  <si>
    <t>DP1134</t>
  </si>
  <si>
    <t>Waqar Zaman</t>
  </si>
  <si>
    <t>Muhammad Zaman</t>
  </si>
  <si>
    <t>Office Boy</t>
  </si>
  <si>
    <t>13504-5302058-9</t>
  </si>
  <si>
    <t>DP1135</t>
  </si>
  <si>
    <t xml:space="preserve">Rizwan Raees </t>
  </si>
  <si>
    <t>Muhammad Shafqiue</t>
  </si>
  <si>
    <t xml:space="preserve">Assitant Camerman Cum Driver </t>
  </si>
  <si>
    <t>42201-2265397-1</t>
  </si>
  <si>
    <t>6k Support Allowance</t>
  </si>
  <si>
    <t>DP1136</t>
  </si>
  <si>
    <t xml:space="preserve">Aamir </t>
  </si>
  <si>
    <t xml:space="preserve">Outsource / Camerman/ Producer </t>
  </si>
  <si>
    <t>42101-1813904-5</t>
  </si>
  <si>
    <t xml:space="preserve">TEAM ISLAMABAD </t>
  </si>
  <si>
    <t>DP1137</t>
  </si>
  <si>
    <t>Mirza Adeel Baig</t>
  </si>
  <si>
    <t>Haji Mirza Rafiqe Baig</t>
  </si>
  <si>
    <t xml:space="preserve">Executive Director </t>
  </si>
  <si>
    <t>31302-8986734-1</t>
  </si>
  <si>
    <t>DP1138</t>
  </si>
  <si>
    <t>Naseer Ahmad Abbasi</t>
  </si>
  <si>
    <t>Muhammad Nazir</t>
  </si>
  <si>
    <t>Sr. Producer/Anchor</t>
  </si>
  <si>
    <t>35202-2547033-9</t>
  </si>
  <si>
    <t>DP1140</t>
  </si>
  <si>
    <t xml:space="preserve">Waqas Rasheed </t>
  </si>
  <si>
    <t xml:space="preserve">Abdur Rasheed </t>
  </si>
  <si>
    <t>13101-9377601-5</t>
  </si>
  <si>
    <t>DP1141</t>
  </si>
  <si>
    <t>Husnain Mukhtar</t>
  </si>
  <si>
    <t>34402-6261195-3</t>
  </si>
  <si>
    <t>DP1142</t>
  </si>
  <si>
    <t xml:space="preserve">Mirza Muhammad Yasir Abbas </t>
  </si>
  <si>
    <t xml:space="preserve">Muhammad Abbas </t>
  </si>
  <si>
    <t>37405-9408260-0</t>
  </si>
  <si>
    <t>DP1143</t>
  </si>
  <si>
    <t>Muntazir Mehandi</t>
  </si>
  <si>
    <t>37405-2854498-9</t>
  </si>
  <si>
    <t>DP1144</t>
  </si>
  <si>
    <t xml:space="preserve">Aqeel Ahmed </t>
  </si>
  <si>
    <t xml:space="preserve">Muhammad Bashir </t>
  </si>
  <si>
    <t>61101-2937554-3</t>
  </si>
  <si>
    <t>DP1145</t>
  </si>
  <si>
    <t>Syed Noman shah Gillani</t>
  </si>
  <si>
    <t>Syed munawar shah</t>
  </si>
  <si>
    <t>Cameraman / Driver</t>
  </si>
  <si>
    <t>82203-2691482-5</t>
  </si>
  <si>
    <t>DP1146</t>
  </si>
  <si>
    <t xml:space="preserve">Ijaz Hussain </t>
  </si>
  <si>
    <t>Abdul Rahseed</t>
  </si>
  <si>
    <t xml:space="preserve">Office Boy </t>
  </si>
  <si>
    <t>42000-3137297-3</t>
  </si>
  <si>
    <t>5000 pkr increased 01/07/2026</t>
  </si>
  <si>
    <t>HOST/ANCHORS</t>
  </si>
  <si>
    <t>DP1147</t>
  </si>
  <si>
    <t xml:space="preserve">Rameen Mahmood </t>
  </si>
  <si>
    <t>Khawar Mahmood Ch.</t>
  </si>
  <si>
    <t>35202-1502816-6</t>
  </si>
  <si>
    <t>Talha Amir</t>
  </si>
  <si>
    <t>Amir Ishaq</t>
  </si>
  <si>
    <t>34502-5429838-9</t>
  </si>
  <si>
    <t>DP1157</t>
  </si>
  <si>
    <t>Sameera Latif</t>
  </si>
  <si>
    <t>Abdul Latif Khan</t>
  </si>
  <si>
    <t>42101-9275418-0</t>
  </si>
  <si>
    <t>MONTHLY OFF</t>
  </si>
  <si>
    <t>DP1151</t>
  </si>
  <si>
    <t xml:space="preserve">Saba Nasir </t>
  </si>
  <si>
    <t>Muhammad Hammad Yasin</t>
  </si>
  <si>
    <t>Program Host</t>
  </si>
  <si>
    <t>35201-9109040-4</t>
  </si>
  <si>
    <t xml:space="preserve">Maisam Abbas Khan </t>
  </si>
  <si>
    <t>Ahmed Khan</t>
  </si>
  <si>
    <t>Host (Pakistan Today)</t>
  </si>
  <si>
    <t>27634-2370822-3</t>
  </si>
  <si>
    <t xml:space="preserve">10 days june </t>
  </si>
  <si>
    <t>DP1153</t>
  </si>
  <si>
    <t xml:space="preserve">Zaheer Abbas </t>
  </si>
  <si>
    <t>Muhammad Shafiq</t>
  </si>
  <si>
    <t xml:space="preserve">Host </t>
  </si>
  <si>
    <t>35202-2431478-3</t>
  </si>
  <si>
    <t>DP1155</t>
  </si>
  <si>
    <t>Eza Romail</t>
  </si>
  <si>
    <t>Romail Saeed Butt</t>
  </si>
  <si>
    <t>News Anchor Trainee</t>
  </si>
  <si>
    <t>35202-2460064-6</t>
  </si>
  <si>
    <t>40,000 increaded 01/05/2026</t>
  </si>
  <si>
    <t>Warisha Abbas</t>
  </si>
  <si>
    <t>Muhammad Hamza Riaz</t>
  </si>
  <si>
    <t>33303-5293080-6</t>
  </si>
  <si>
    <t>Hafiz Attique Ahmad</t>
  </si>
  <si>
    <t>Muhammad Ishaq</t>
  </si>
  <si>
    <t>35501-1005491-7</t>
  </si>
  <si>
    <t>05467900791503 (HBL)</t>
  </si>
  <si>
    <t>DP1156</t>
  </si>
  <si>
    <t>Zoya Hashmi</t>
  </si>
  <si>
    <t>Ameen</t>
  </si>
  <si>
    <t>Host</t>
  </si>
  <si>
    <t>35102-0587270-6</t>
  </si>
  <si>
    <t>IT</t>
  </si>
  <si>
    <t>DP1158</t>
  </si>
  <si>
    <t xml:space="preserve">Adil Munir </t>
  </si>
  <si>
    <t xml:space="preserve">Muhammad Munir </t>
  </si>
  <si>
    <t xml:space="preserve">IT Support Engineer </t>
  </si>
  <si>
    <t>35303-0964555-1</t>
  </si>
  <si>
    <t>DP1159</t>
  </si>
  <si>
    <t>Abid Hussain</t>
  </si>
  <si>
    <t>Khadim Hussain</t>
  </si>
  <si>
    <t>NOC Engineer</t>
  </si>
  <si>
    <t>35201-6247089-1</t>
  </si>
  <si>
    <t>DP1160</t>
  </si>
  <si>
    <t xml:space="preserve">Muhammad Husnain Bashir </t>
  </si>
  <si>
    <t xml:space="preserve">IT Assistant </t>
  </si>
  <si>
    <t>35202-5576765-9</t>
  </si>
  <si>
    <t>TRANSPORT</t>
  </si>
  <si>
    <t>DP1161</t>
  </si>
  <si>
    <t>Riaz Hussain Shah</t>
  </si>
  <si>
    <t>Syed Qasim Ali Shah</t>
  </si>
  <si>
    <t>Admin / Transport  Manager</t>
  </si>
  <si>
    <t>38401-1599929-3</t>
  </si>
  <si>
    <t>on notice period (october)</t>
  </si>
  <si>
    <t>20,000 increaed 01/06/2026</t>
  </si>
  <si>
    <t>DP1162</t>
  </si>
  <si>
    <t xml:space="preserve">Muhammad Numan </t>
  </si>
  <si>
    <t>Ghulam Muhammad</t>
  </si>
  <si>
    <t>Driver</t>
  </si>
  <si>
    <t>36502-9138109-1</t>
  </si>
  <si>
    <t>DP1163</t>
  </si>
  <si>
    <t xml:space="preserve">Touqeer Asghar </t>
  </si>
  <si>
    <t xml:space="preserve">Ali Asghar </t>
  </si>
  <si>
    <t>13101-2488315-9</t>
  </si>
  <si>
    <t>DP1164</t>
  </si>
  <si>
    <t>Sagheer Ahmed</t>
  </si>
  <si>
    <t>Munir Ahmed</t>
  </si>
  <si>
    <t>35202-8816294-7</t>
  </si>
  <si>
    <t>Liaqat Ali</t>
  </si>
  <si>
    <t>Sikandar Khan</t>
  </si>
  <si>
    <t>42301-1384599-1</t>
  </si>
  <si>
    <t>Noman Abbasi</t>
  </si>
  <si>
    <t>Qurban Hussain</t>
  </si>
  <si>
    <t>31201-7766357-5</t>
  </si>
  <si>
    <t>Ayyaz Iqbal</t>
  </si>
  <si>
    <t>Iqbal Hussain</t>
  </si>
  <si>
    <t>31201-8156792-7</t>
  </si>
  <si>
    <t>DP1166</t>
  </si>
  <si>
    <t>Imdad Hassan</t>
  </si>
  <si>
    <t>Sarfaraz Hussain Sabri</t>
  </si>
  <si>
    <t>35202-1126640-1</t>
  </si>
  <si>
    <t>Umar Farooq</t>
  </si>
  <si>
    <t>Muhammad Farooq</t>
  </si>
  <si>
    <t>36501-7235485-9</t>
  </si>
  <si>
    <t>DP1168</t>
  </si>
  <si>
    <t xml:space="preserve">Uzair Wajid </t>
  </si>
  <si>
    <t>Fazli Wajid</t>
  </si>
  <si>
    <t>16202-6098542-7</t>
  </si>
  <si>
    <t>GENERAL &amp; Other STAFF</t>
  </si>
  <si>
    <t>DP1170</t>
  </si>
  <si>
    <t>Admin Manager</t>
  </si>
  <si>
    <t>37302-6027054-5</t>
  </si>
  <si>
    <t>20,000 increased 01/06/2026</t>
  </si>
  <si>
    <t>DP1171</t>
  </si>
  <si>
    <t>Muhib Ur Rehman</t>
  </si>
  <si>
    <t>Habib Ur rehman</t>
  </si>
  <si>
    <t>Electrician</t>
  </si>
  <si>
    <t>36104-0439521-9</t>
  </si>
  <si>
    <t>DP1173</t>
  </si>
  <si>
    <t>Adeel Afzal</t>
  </si>
  <si>
    <t>35405-0640612-1</t>
  </si>
  <si>
    <t>2500 increased 01/09/2026</t>
  </si>
  <si>
    <t>DP7491</t>
  </si>
  <si>
    <t xml:space="preserve">Muhammad Aftab </t>
  </si>
  <si>
    <t>Rabnawaz</t>
  </si>
  <si>
    <t>36102-1824915-7</t>
  </si>
  <si>
    <t>DP1174</t>
  </si>
  <si>
    <t xml:space="preserve">Irfan Masih </t>
  </si>
  <si>
    <t>Munawar Masih</t>
  </si>
  <si>
    <t>33301-2795442-3</t>
  </si>
  <si>
    <t>Raheel Rehmat</t>
  </si>
  <si>
    <t>Rahmat Ali</t>
  </si>
  <si>
    <t>Dish washer</t>
  </si>
  <si>
    <t>35202-4757114-7</t>
  </si>
  <si>
    <t>DP1178</t>
  </si>
  <si>
    <t>Aqeel Jamil</t>
  </si>
  <si>
    <t>Muhammad jamil</t>
  </si>
  <si>
    <t>Attendent Gali Surjan Singh</t>
  </si>
  <si>
    <t>DP1180</t>
  </si>
  <si>
    <t>Adeel Sagar</t>
  </si>
  <si>
    <t>Razzaq Masih</t>
  </si>
  <si>
    <t>House keeping</t>
  </si>
  <si>
    <t>33301-6281403-3</t>
  </si>
  <si>
    <t>DP7514</t>
  </si>
  <si>
    <t>Rashid Masih</t>
  </si>
  <si>
    <t>Ashiq Masih</t>
  </si>
  <si>
    <t>35101-5411278-1</t>
  </si>
  <si>
    <t>DP1181</t>
  </si>
  <si>
    <t>Adnan Masih Gill</t>
  </si>
  <si>
    <t>Sabir Masih</t>
  </si>
  <si>
    <t>33301-2865670-5</t>
  </si>
  <si>
    <t>DP1182</t>
  </si>
  <si>
    <t>Altaf Ahmad Khan</t>
  </si>
  <si>
    <t>Mumtaz Ahmad Khan</t>
  </si>
  <si>
    <t>Security Guard</t>
  </si>
  <si>
    <t>38301-8394308-9</t>
  </si>
  <si>
    <t>100,000 loan (30k from dr sb,70,000 will be deduct 7,000 per month from oct</t>
  </si>
  <si>
    <t>3k increased 1-11-2025</t>
  </si>
  <si>
    <t>DP1183</t>
  </si>
  <si>
    <t>Muhammad Naseer</t>
  </si>
  <si>
    <t>3820193653177</t>
  </si>
  <si>
    <t>Total Amount including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</si>
</sst>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* #,##0_);_(* \(#,##0\);_(* \-??_);_(@_)"/>
    <numFmt numFmtId="166" formatCode="[$-409]d\-mmm\-yy;@"/>
    <numFmt numFmtId="167" formatCode="[$-409]d/m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mbria"/>
      <family val="1"/>
      <charset val="1"/>
    </font>
    <font>
      <sz val="12"/>
      <color rgb="FF000000"/>
      <name val="Cambria"/>
      <family val="1"/>
      <charset val="1"/>
    </font>
    <font>
      <b/>
      <sz val="12"/>
      <color rgb="FF000000"/>
      <name val="Cambria"/>
      <family val="1"/>
      <charset val="1"/>
    </font>
    <font>
      <b/>
      <sz val="12"/>
      <color rgb="FF000000"/>
      <name val="Calibri Light"/>
      <family val="2"/>
      <charset val="1"/>
    </font>
    <font>
      <sz val="12"/>
      <color rgb="FFFF0000"/>
      <name val="Cambria"/>
      <family val="1"/>
      <charset val="1"/>
    </font>
    <font>
      <sz val="12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3D69B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rgb="FF9C0006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65" fontId="4" fillId="0" borderId="0" xfId="1" applyNumberFormat="1" applyFont="1" applyBorder="1" applyProtection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65" fontId="4" fillId="0" borderId="1" xfId="1" applyNumberFormat="1" applyFont="1" applyBorder="1" applyProtection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65" fontId="4" fillId="2" borderId="2" xfId="1" applyNumberFormat="1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3" xfId="0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165" fontId="3" fillId="0" borderId="3" xfId="1" applyNumberFormat="1" applyFont="1" applyBorder="1" applyProtection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/>
    <xf numFmtId="0" fontId="3" fillId="0" borderId="4" xfId="0" applyFont="1" applyBorder="1" applyAlignment="1">
      <alignment wrapText="1"/>
    </xf>
    <xf numFmtId="0" fontId="3" fillId="0" borderId="5" xfId="0" applyFont="1" applyBorder="1"/>
    <xf numFmtId="166" fontId="3" fillId="0" borderId="4" xfId="0" applyNumberFormat="1" applyFont="1" applyBorder="1" applyAlignment="1">
      <alignment horizontal="center" vertical="center"/>
    </xf>
    <xf numFmtId="165" fontId="3" fillId="0" borderId="4" xfId="1" applyNumberFormat="1" applyFont="1" applyBorder="1" applyAlignment="1" applyProtection="1">
      <alignment vertical="center"/>
    </xf>
    <xf numFmtId="165" fontId="3" fillId="0" borderId="6" xfId="1" applyNumberFormat="1" applyFont="1" applyBorder="1" applyAlignment="1" applyProtection="1">
      <alignment vertical="center"/>
    </xf>
    <xf numFmtId="165" fontId="3" fillId="0" borderId="7" xfId="1" applyNumberFormat="1" applyFont="1" applyBorder="1" applyAlignment="1" applyProtection="1">
      <alignment vertical="center"/>
    </xf>
    <xf numFmtId="165" fontId="3" fillId="0" borderId="3" xfId="1" applyNumberFormat="1" applyFont="1" applyBorder="1" applyAlignment="1" applyProtection="1">
      <alignment vertical="center"/>
    </xf>
    <xf numFmtId="165" fontId="3" fillId="0" borderId="8" xfId="1" applyNumberFormat="1" applyFont="1" applyBorder="1" applyAlignment="1" applyProtection="1">
      <alignment vertical="center"/>
    </xf>
    <xf numFmtId="165" fontId="3" fillId="0" borderId="4" xfId="1" applyNumberFormat="1" applyFont="1" applyBorder="1" applyAlignment="1" applyProtection="1">
      <alignment horizontal="center" vertical="center"/>
    </xf>
    <xf numFmtId="3" fontId="3" fillId="0" borderId="4" xfId="1" applyNumberFormat="1" applyFont="1" applyBorder="1" applyAlignment="1" applyProtection="1">
      <alignment horizontal="center" vertical="center"/>
    </xf>
    <xf numFmtId="165" fontId="4" fillId="0" borderId="9" xfId="0" applyNumberFormat="1" applyFont="1" applyBorder="1"/>
    <xf numFmtId="165" fontId="3" fillId="0" borderId="0" xfId="0" applyNumberFormat="1" applyFont="1"/>
    <xf numFmtId="0" fontId="3" fillId="0" borderId="9" xfId="0" applyFont="1" applyBorder="1"/>
    <xf numFmtId="0" fontId="3" fillId="0" borderId="6" xfId="0" applyFont="1" applyBorder="1" applyAlignment="1">
      <alignment horizontal="center" vertical="center"/>
    </xf>
    <xf numFmtId="0" fontId="4" fillId="0" borderId="9" xfId="0" applyFont="1" applyBorder="1"/>
    <xf numFmtId="0" fontId="3" fillId="0" borderId="10" xfId="0" applyFont="1" applyBorder="1" applyAlignment="1">
      <alignment wrapText="1"/>
    </xf>
    <xf numFmtId="167" fontId="3" fillId="0" borderId="10" xfId="0" applyNumberFormat="1" applyFont="1" applyBorder="1" applyAlignment="1">
      <alignment wrapText="1"/>
    </xf>
    <xf numFmtId="165" fontId="3" fillId="0" borderId="10" xfId="0" applyNumberFormat="1" applyFont="1" applyBorder="1"/>
    <xf numFmtId="165" fontId="4" fillId="0" borderId="10" xfId="0" applyNumberFormat="1" applyFont="1" applyBorder="1"/>
    <xf numFmtId="165" fontId="3" fillId="0" borderId="3" xfId="1" applyNumberFormat="1" applyFont="1" applyBorder="1" applyAlignment="1" applyProtection="1">
      <alignment wrapText="1"/>
    </xf>
    <xf numFmtId="165" fontId="3" fillId="0" borderId="11" xfId="1" applyNumberFormat="1" applyFont="1" applyBorder="1" applyAlignment="1" applyProtection="1">
      <alignment vertical="center"/>
    </xf>
    <xf numFmtId="0" fontId="3" fillId="0" borderId="11" xfId="0" applyFont="1" applyBorder="1" applyAlignment="1">
      <alignment horizontal="center" vertical="center"/>
    </xf>
    <xf numFmtId="165" fontId="3" fillId="0" borderId="0" xfId="1" applyNumberFormat="1" applyFont="1" applyBorder="1" applyAlignment="1" applyProtection="1">
      <alignment vertical="center"/>
    </xf>
    <xf numFmtId="165" fontId="3" fillId="0" borderId="13" xfId="1" applyNumberFormat="1" applyFont="1" applyBorder="1" applyAlignment="1" applyProtection="1">
      <alignment vertical="center"/>
    </xf>
    <xf numFmtId="165" fontId="3" fillId="0" borderId="11" xfId="1" applyNumberFormat="1" applyFont="1" applyBorder="1" applyAlignment="1" applyProtection="1">
      <alignment horizontal="center" vertical="center"/>
    </xf>
    <xf numFmtId="3" fontId="3" fillId="0" borderId="11" xfId="1" applyNumberFormat="1" applyFont="1" applyBorder="1" applyAlignment="1" applyProtection="1">
      <alignment horizontal="center" vertical="center"/>
    </xf>
    <xf numFmtId="0" fontId="3" fillId="3" borderId="11" xfId="0" applyFont="1" applyFill="1" applyBorder="1"/>
    <xf numFmtId="0" fontId="3" fillId="0" borderId="11" xfId="0" applyFont="1" applyBorder="1" applyAlignment="1">
      <alignment wrapText="1"/>
    </xf>
    <xf numFmtId="0" fontId="3" fillId="0" borderId="14" xfId="0" applyFont="1" applyBorder="1"/>
    <xf numFmtId="166" fontId="3" fillId="0" borderId="11" xfId="0" applyNumberFormat="1" applyFont="1" applyBorder="1" applyAlignment="1">
      <alignment horizontal="center" vertical="center"/>
    </xf>
    <xf numFmtId="165" fontId="3" fillId="0" borderId="5" xfId="1" applyNumberFormat="1" applyFont="1" applyBorder="1" applyAlignment="1" applyProtection="1">
      <alignment vertical="center"/>
    </xf>
    <xf numFmtId="0" fontId="3" fillId="0" borderId="5" xfId="0" applyFont="1" applyBorder="1" applyAlignment="1">
      <alignment horizontal="center" vertical="center"/>
    </xf>
    <xf numFmtId="165" fontId="3" fillId="0" borderId="5" xfId="1" applyNumberFormat="1" applyFont="1" applyBorder="1" applyAlignment="1" applyProtection="1">
      <alignment horizontal="center" vertical="center"/>
    </xf>
    <xf numFmtId="3" fontId="3" fillId="0" borderId="5" xfId="1" applyNumberFormat="1" applyFont="1" applyBorder="1" applyAlignment="1" applyProtection="1">
      <alignment horizontal="center" vertical="center"/>
    </xf>
    <xf numFmtId="0" fontId="3" fillId="0" borderId="15" xfId="0" applyFont="1" applyBorder="1"/>
    <xf numFmtId="0" fontId="3" fillId="3" borderId="5" xfId="0" applyFont="1" applyFill="1" applyBorder="1"/>
    <xf numFmtId="0" fontId="3" fillId="0" borderId="5" xfId="0" applyFont="1" applyBorder="1" applyAlignment="1">
      <alignment wrapText="1"/>
    </xf>
    <xf numFmtId="166" fontId="3" fillId="0" borderId="5" xfId="0" applyNumberFormat="1" applyFont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3" fillId="3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1" applyNumberFormat="1" applyFont="1" applyBorder="1" applyAlignment="1" applyProtection="1">
      <alignment horizontal="center" vertical="center"/>
    </xf>
    <xf numFmtId="0" fontId="3" fillId="0" borderId="0" xfId="0" applyFont="1" applyAlignment="1">
      <alignment vertical="center"/>
    </xf>
    <xf numFmtId="0" fontId="3" fillId="3" borderId="5" xfId="0" applyFont="1" applyFill="1" applyBorder="1" applyAlignment="1">
      <alignment vertical="center"/>
    </xf>
    <xf numFmtId="165" fontId="3" fillId="0" borderId="17" xfId="1" applyNumberFormat="1" applyFont="1" applyBorder="1" applyAlignment="1" applyProtection="1">
      <alignment vertical="center"/>
    </xf>
    <xf numFmtId="165" fontId="3" fillId="0" borderId="16" xfId="1" applyNumberFormat="1" applyFont="1" applyBorder="1" applyAlignment="1" applyProtection="1">
      <alignment vertical="center"/>
    </xf>
    <xf numFmtId="0" fontId="3" fillId="0" borderId="5" xfId="1" applyNumberFormat="1" applyFont="1" applyBorder="1" applyAlignment="1" applyProtection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wrapText="1"/>
    </xf>
    <xf numFmtId="0" fontId="3" fillId="0" borderId="5" xfId="0" applyFont="1" applyBorder="1" applyAlignment="1">
      <alignment horizontal="center"/>
    </xf>
    <xf numFmtId="165" fontId="3" fillId="0" borderId="16" xfId="1" applyNumberFormat="1" applyFont="1" applyBorder="1" applyProtection="1"/>
    <xf numFmtId="0" fontId="4" fillId="0" borderId="18" xfId="0" applyFont="1" applyBorder="1"/>
    <xf numFmtId="165" fontId="3" fillId="0" borderId="19" xfId="1" applyNumberFormat="1" applyFont="1" applyBorder="1" applyAlignment="1" applyProtection="1">
      <alignment vertical="center"/>
    </xf>
    <xf numFmtId="165" fontId="3" fillId="0" borderId="20" xfId="1" applyNumberFormat="1" applyFont="1" applyBorder="1" applyAlignment="1" applyProtection="1">
      <alignment vertical="center"/>
    </xf>
    <xf numFmtId="165" fontId="3" fillId="0" borderId="20" xfId="1" applyNumberFormat="1" applyFont="1" applyBorder="1" applyProtection="1"/>
    <xf numFmtId="0" fontId="3" fillId="0" borderId="16" xfId="0" applyFont="1" applyBorder="1" applyAlignment="1">
      <alignment horizontal="center" vertical="center"/>
    </xf>
    <xf numFmtId="165" fontId="3" fillId="0" borderId="20" xfId="1" applyNumberFormat="1" applyFont="1" applyBorder="1" applyAlignment="1" applyProtection="1">
      <alignment vertical="center" wrapText="1"/>
    </xf>
    <xf numFmtId="2" fontId="3" fillId="4" borderId="0" xfId="0" applyNumberFormat="1" applyFont="1" applyFill="1" applyAlignment="1">
      <alignment horizontal="center"/>
    </xf>
    <xf numFmtId="0" fontId="3" fillId="3" borderId="5" xfId="0" applyFont="1" applyFill="1" applyBorder="1" applyAlignment="1">
      <alignment wrapText="1"/>
    </xf>
    <xf numFmtId="0" fontId="4" fillId="0" borderId="21" xfId="0" applyFont="1" applyBorder="1"/>
    <xf numFmtId="0" fontId="3" fillId="0" borderId="14" xfId="0" applyFont="1" applyBorder="1" applyAlignment="1">
      <alignment wrapText="1"/>
    </xf>
    <xf numFmtId="0" fontId="3" fillId="0" borderId="18" xfId="0" applyFont="1" applyBorder="1"/>
    <xf numFmtId="165" fontId="3" fillId="0" borderId="20" xfId="1" applyNumberFormat="1" applyFont="1" applyBorder="1" applyAlignment="1" applyProtection="1">
      <alignment wrapText="1"/>
    </xf>
    <xf numFmtId="0" fontId="3" fillId="0" borderId="5" xfId="0" applyFont="1" applyBorder="1" applyAlignment="1">
      <alignment horizontal="left" vertical="top" wrapText="1"/>
    </xf>
    <xf numFmtId="0" fontId="3" fillId="4" borderId="18" xfId="0" applyFont="1" applyFill="1" applyBorder="1" applyAlignment="1">
      <alignment wrapText="1"/>
    </xf>
    <xf numFmtId="165" fontId="3" fillId="0" borderId="23" xfId="1" applyNumberFormat="1" applyFont="1" applyBorder="1" applyProtection="1"/>
    <xf numFmtId="3" fontId="3" fillId="0" borderId="14" xfId="1" applyNumberFormat="1" applyFont="1" applyBorder="1" applyAlignment="1" applyProtection="1">
      <alignment horizontal="center" vertical="center"/>
    </xf>
    <xf numFmtId="0" fontId="3" fillId="3" borderId="5" xfId="0" applyFont="1" applyFill="1" applyBorder="1" applyAlignment="1">
      <alignment horizontal="left"/>
    </xf>
    <xf numFmtId="165" fontId="3" fillId="0" borderId="23" xfId="1" applyNumberFormat="1" applyFont="1" applyBorder="1" applyAlignment="1" applyProtection="1">
      <alignment vertical="center"/>
    </xf>
    <xf numFmtId="165" fontId="3" fillId="0" borderId="5" xfId="1" applyNumberFormat="1" applyFont="1" applyBorder="1" applyProtection="1"/>
    <xf numFmtId="0" fontId="3" fillId="0" borderId="14" xfId="1" applyNumberFormat="1" applyFont="1" applyBorder="1" applyAlignment="1" applyProtection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wrapText="1"/>
    </xf>
    <xf numFmtId="0" fontId="5" fillId="0" borderId="3" xfId="0" applyFont="1" applyBorder="1"/>
    <xf numFmtId="0" fontId="6" fillId="5" borderId="5" xfId="0" applyFont="1" applyFill="1" applyBorder="1" applyAlignment="1">
      <alignment wrapText="1"/>
    </xf>
    <xf numFmtId="1" fontId="3" fillId="0" borderId="5" xfId="0" applyNumberFormat="1" applyFont="1" applyBorder="1" applyAlignment="1">
      <alignment wrapText="1"/>
    </xf>
    <xf numFmtId="0" fontId="4" fillId="0" borderId="18" xfId="0" applyFont="1" applyBorder="1" applyAlignment="1">
      <alignment vertical="center"/>
    </xf>
    <xf numFmtId="165" fontId="3" fillId="0" borderId="5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wrapText="1"/>
    </xf>
    <xf numFmtId="0" fontId="3" fillId="0" borderId="18" xfId="0" applyFont="1" applyBorder="1" applyAlignment="1">
      <alignment vertical="center"/>
    </xf>
    <xf numFmtId="0" fontId="3" fillId="4" borderId="18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top" wrapText="1"/>
    </xf>
    <xf numFmtId="166" fontId="3" fillId="0" borderId="14" xfId="0" applyNumberFormat="1" applyFont="1" applyBorder="1" applyAlignment="1">
      <alignment horizontal="center" vertical="center"/>
    </xf>
    <xf numFmtId="165" fontId="3" fillId="0" borderId="14" xfId="1" applyNumberFormat="1" applyFont="1" applyBorder="1" applyAlignment="1" applyProtection="1">
      <alignment vertical="center"/>
    </xf>
    <xf numFmtId="0" fontId="3" fillId="0" borderId="14" xfId="0" applyFont="1" applyBorder="1" applyAlignment="1">
      <alignment horizontal="center" vertical="center"/>
    </xf>
    <xf numFmtId="165" fontId="3" fillId="0" borderId="25" xfId="1" applyNumberFormat="1" applyFont="1" applyBorder="1" applyAlignment="1" applyProtection="1">
      <alignment vertical="center"/>
    </xf>
    <xf numFmtId="165" fontId="3" fillId="0" borderId="15" xfId="1" applyNumberFormat="1" applyFont="1" applyBorder="1" applyAlignment="1" applyProtection="1">
      <alignment vertical="center"/>
    </xf>
    <xf numFmtId="165" fontId="3" fillId="0" borderId="14" xfId="1" applyNumberFormat="1" applyFont="1" applyBorder="1" applyAlignment="1" applyProtection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center" vertical="center"/>
    </xf>
    <xf numFmtId="166" fontId="3" fillId="6" borderId="5" xfId="0" applyNumberFormat="1" applyFont="1" applyFill="1" applyBorder="1" applyAlignment="1">
      <alignment horizontal="center" vertical="center"/>
    </xf>
    <xf numFmtId="165" fontId="3" fillId="6" borderId="5" xfId="1" applyNumberFormat="1" applyFont="1" applyFill="1" applyBorder="1" applyAlignment="1" applyProtection="1">
      <alignment vertical="center"/>
    </xf>
    <xf numFmtId="0" fontId="3" fillId="7" borderId="4" xfId="0" applyFont="1" applyFill="1" applyBorder="1" applyAlignment="1">
      <alignment horizontal="center" vertical="center"/>
    </xf>
    <xf numFmtId="2" fontId="3" fillId="4" borderId="0" xfId="0" applyNumberFormat="1" applyFont="1" applyFill="1" applyAlignment="1">
      <alignment vertical="center"/>
    </xf>
    <xf numFmtId="0" fontId="3" fillId="8" borderId="5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horizontal="center" vertical="center"/>
    </xf>
    <xf numFmtId="165" fontId="3" fillId="8" borderId="5" xfId="1" applyNumberFormat="1" applyFont="1" applyFill="1" applyBorder="1" applyAlignment="1" applyProtection="1">
      <alignment vertical="center"/>
    </xf>
    <xf numFmtId="0" fontId="3" fillId="8" borderId="0" xfId="0" applyFont="1" applyFill="1" applyAlignment="1">
      <alignment vertical="center"/>
    </xf>
    <xf numFmtId="1" fontId="3" fillId="4" borderId="0" xfId="0" applyNumberFormat="1" applyFont="1" applyFill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1" fontId="3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vertical="center" wrapText="1"/>
    </xf>
    <xf numFmtId="165" fontId="3" fillId="0" borderId="26" xfId="1" applyNumberFormat="1" applyFont="1" applyBorder="1" applyAlignment="1" applyProtection="1">
      <alignment vertical="center"/>
    </xf>
    <xf numFmtId="0" fontId="4" fillId="0" borderId="18" xfId="0" applyFont="1" applyBorder="1" applyAlignment="1">
      <alignment vertical="center" wrapText="1"/>
    </xf>
    <xf numFmtId="165" fontId="3" fillId="0" borderId="0" xfId="0" applyNumberFormat="1" applyFont="1" applyAlignment="1">
      <alignment vertical="center"/>
    </xf>
    <xf numFmtId="0" fontId="4" fillId="4" borderId="18" xfId="0" applyFont="1" applyFill="1" applyBorder="1" applyAlignment="1">
      <alignment vertical="center" wrapText="1"/>
    </xf>
    <xf numFmtId="0" fontId="4" fillId="6" borderId="18" xfId="0" applyFont="1" applyFill="1" applyBorder="1" applyAlignment="1">
      <alignment vertical="center" wrapText="1"/>
    </xf>
    <xf numFmtId="1" fontId="3" fillId="4" borderId="0" xfId="0" applyNumberFormat="1" applyFont="1" applyFill="1" applyAlignment="1">
      <alignment vertical="center"/>
    </xf>
    <xf numFmtId="0" fontId="3" fillId="0" borderId="27" xfId="0" applyFont="1" applyBorder="1" applyAlignment="1">
      <alignment horizontal="center"/>
    </xf>
    <xf numFmtId="0" fontId="3" fillId="0" borderId="18" xfId="0" applyFont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0" borderId="28" xfId="0" applyFont="1" applyBorder="1" applyAlignment="1">
      <alignment horizontal="center"/>
    </xf>
    <xf numFmtId="0" fontId="3" fillId="3" borderId="29" xfId="0" applyFont="1" applyFill="1" applyBorder="1" applyAlignment="1">
      <alignment vertical="center"/>
    </xf>
    <xf numFmtId="0" fontId="3" fillId="0" borderId="29" xfId="0" applyFont="1" applyBorder="1" applyAlignment="1">
      <alignment vertical="center" wrapText="1"/>
    </xf>
    <xf numFmtId="166" fontId="3" fillId="0" borderId="29" xfId="0" applyNumberFormat="1" applyFont="1" applyBorder="1" applyAlignment="1">
      <alignment horizontal="center" vertical="center"/>
    </xf>
    <xf numFmtId="165" fontId="3" fillId="0" borderId="29" xfId="1" applyNumberFormat="1" applyFont="1" applyBorder="1" applyAlignment="1" applyProtection="1">
      <alignment vertical="center"/>
    </xf>
    <xf numFmtId="0" fontId="3" fillId="0" borderId="30" xfId="0" applyFont="1" applyBorder="1" applyAlignment="1">
      <alignment vertical="center"/>
    </xf>
    <xf numFmtId="0" fontId="3" fillId="0" borderId="30" xfId="0" applyFont="1" applyBorder="1" applyAlignment="1">
      <alignment vertical="center" wrapText="1"/>
    </xf>
    <xf numFmtId="0" fontId="3" fillId="4" borderId="5" xfId="0" applyFont="1" applyFill="1" applyBorder="1"/>
    <xf numFmtId="0" fontId="3" fillId="8" borderId="27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wrapText="1"/>
    </xf>
    <xf numFmtId="167" fontId="3" fillId="8" borderId="5" xfId="0" applyNumberFormat="1" applyFont="1" applyFill="1" applyBorder="1" applyAlignment="1">
      <alignment horizontal="left" wrapText="1"/>
    </xf>
    <xf numFmtId="166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65" fontId="7" fillId="0" borderId="5" xfId="1" applyNumberFormat="1" applyFont="1" applyBorder="1" applyProtection="1"/>
    <xf numFmtId="165" fontId="3" fillId="8" borderId="5" xfId="1" applyNumberFormat="1" applyFont="1" applyFill="1" applyBorder="1" applyAlignment="1" applyProtection="1">
      <alignment horizontal="center" vertical="center"/>
    </xf>
    <xf numFmtId="0" fontId="3" fillId="8" borderId="5" xfId="1" applyNumberFormat="1" applyFont="1" applyFill="1" applyBorder="1" applyAlignment="1" applyProtection="1">
      <alignment horizontal="center" vertical="center"/>
    </xf>
    <xf numFmtId="0" fontId="3" fillId="8" borderId="18" xfId="0" applyFont="1" applyFill="1" applyBorder="1" applyAlignment="1">
      <alignment vertical="center"/>
    </xf>
    <xf numFmtId="167" fontId="3" fillId="8" borderId="18" xfId="0" applyNumberFormat="1" applyFont="1" applyFill="1" applyBorder="1" applyAlignment="1">
      <alignment horizontal="center" wrapText="1"/>
    </xf>
    <xf numFmtId="0" fontId="3" fillId="8" borderId="0" xfId="0" applyFont="1" applyFill="1"/>
    <xf numFmtId="0" fontId="3" fillId="8" borderId="5" xfId="0" applyFont="1" applyFill="1" applyBorder="1"/>
    <xf numFmtId="0" fontId="0" fillId="8" borderId="0" xfId="0" applyFill="1"/>
    <xf numFmtId="0" fontId="3" fillId="0" borderId="31" xfId="0" applyFont="1" applyBorder="1" applyAlignment="1">
      <alignment horizontal="center"/>
    </xf>
    <xf numFmtId="0" fontId="3" fillId="3" borderId="32" xfId="0" applyFont="1" applyFill="1" applyBorder="1"/>
    <xf numFmtId="0" fontId="3" fillId="0" borderId="32" xfId="0" applyFont="1" applyBorder="1" applyAlignment="1">
      <alignment wrapText="1"/>
    </xf>
    <xf numFmtId="0" fontId="3" fillId="0" borderId="32" xfId="0" applyFont="1" applyBorder="1"/>
    <xf numFmtId="166" fontId="3" fillId="0" borderId="32" xfId="0" applyNumberFormat="1" applyFont="1" applyBorder="1" applyAlignment="1">
      <alignment horizontal="center" vertical="center"/>
    </xf>
    <xf numFmtId="165" fontId="3" fillId="0" borderId="32" xfId="1" applyNumberFormat="1" applyFont="1" applyBorder="1" applyAlignment="1" applyProtection="1">
      <alignment vertical="center"/>
    </xf>
    <xf numFmtId="0" fontId="3" fillId="0" borderId="33" xfId="0" applyFont="1" applyBorder="1"/>
    <xf numFmtId="167" fontId="3" fillId="0" borderId="5" xfId="0" applyNumberFormat="1" applyFont="1" applyBorder="1" applyAlignment="1">
      <alignment horizontal="left" wrapText="1"/>
    </xf>
    <xf numFmtId="167" fontId="3" fillId="0" borderId="18" xfId="0" applyNumberFormat="1" applyFont="1" applyBorder="1" applyAlignment="1">
      <alignment horizontal="center" wrapText="1"/>
    </xf>
    <xf numFmtId="0" fontId="3" fillId="0" borderId="5" xfId="1" applyNumberFormat="1" applyFont="1" applyBorder="1" applyProtection="1"/>
    <xf numFmtId="0" fontId="3" fillId="8" borderId="1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wrapText="1"/>
    </xf>
    <xf numFmtId="167" fontId="4" fillId="0" borderId="10" xfId="0" applyNumberFormat="1" applyFont="1" applyBorder="1" applyAlignment="1">
      <alignment wrapText="1"/>
    </xf>
    <xf numFmtId="165" fontId="3" fillId="0" borderId="0" xfId="1" applyNumberFormat="1" applyFont="1" applyBorder="1" applyProtection="1"/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3" xfId="0" applyFont="1" applyFill="1" applyBorder="1"/>
    <xf numFmtId="165" fontId="3" fillId="0" borderId="7" xfId="1" applyNumberFormat="1" applyFont="1" applyFill="1" applyBorder="1" applyAlignment="1" applyProtection="1">
      <alignment vertical="center"/>
    </xf>
    <xf numFmtId="165" fontId="4" fillId="0" borderId="10" xfId="0" applyNumberFormat="1" applyFont="1" applyFill="1" applyBorder="1"/>
    <xf numFmtId="165" fontId="3" fillId="0" borderId="12" xfId="1" applyNumberFormat="1" applyFont="1" applyFill="1" applyBorder="1" applyAlignment="1" applyProtection="1">
      <alignment vertical="center"/>
    </xf>
    <xf numFmtId="165" fontId="3" fillId="0" borderId="5" xfId="1" applyNumberFormat="1" applyFont="1" applyFill="1" applyBorder="1" applyAlignment="1" applyProtection="1">
      <alignment vertical="center"/>
    </xf>
    <xf numFmtId="165" fontId="3" fillId="0" borderId="5" xfId="1" applyNumberFormat="1" applyFont="1" applyFill="1" applyBorder="1" applyAlignment="1" applyProtection="1">
      <alignment horizontal="center" vertical="center"/>
    </xf>
    <xf numFmtId="165" fontId="3" fillId="0" borderId="19" xfId="1" applyNumberFormat="1" applyFont="1" applyFill="1" applyBorder="1" applyAlignment="1" applyProtection="1">
      <alignment vertical="center"/>
    </xf>
    <xf numFmtId="165" fontId="3" fillId="0" borderId="22" xfId="1" applyNumberFormat="1" applyFont="1" applyFill="1" applyBorder="1" applyAlignment="1" applyProtection="1">
      <alignment vertical="center"/>
    </xf>
    <xf numFmtId="165" fontId="3" fillId="0" borderId="24" xfId="1" applyNumberFormat="1" applyFont="1" applyFill="1" applyBorder="1" applyAlignment="1" applyProtection="1">
      <alignment vertical="center"/>
    </xf>
    <xf numFmtId="165" fontId="3" fillId="0" borderId="26" xfId="1" applyNumberFormat="1" applyFont="1" applyFill="1" applyBorder="1" applyAlignment="1" applyProtection="1">
      <alignment vertical="center"/>
    </xf>
    <xf numFmtId="165" fontId="7" fillId="0" borderId="5" xfId="1" applyNumberFormat="1" applyFont="1" applyFill="1" applyBorder="1" applyProtection="1"/>
    <xf numFmtId="0" fontId="3" fillId="0" borderId="5" xfId="1" applyNumberFormat="1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251"/>
  <sheetViews>
    <sheetView tabSelected="1" zoomScaleNormal="100" workbookViewId="0">
      <selection activeCell="A17" sqref="A17"/>
    </sheetView>
  </sheetViews>
  <sheetFormatPr defaultColWidth="9.28515625" defaultRowHeight="15.75" x14ac:dyDescent="0.25"/>
  <cols>
    <col min="1" max="1" width="6.7109375" style="2" customWidth="1"/>
    <col min="2" max="2" width="11.7109375" style="2" customWidth="1"/>
    <col min="3" max="3" width="31" style="2" customWidth="1"/>
    <col min="4" max="4" width="22.7109375" style="3" customWidth="1"/>
    <col min="5" max="5" width="32.5703125" style="3" customWidth="1"/>
    <col min="6" max="6" width="22.140625" style="2" customWidth="1"/>
    <col min="7" max="7" width="12.85546875" style="2" customWidth="1"/>
    <col min="8" max="8" width="15.7109375" style="2" customWidth="1"/>
    <col min="9" max="9" width="8.28515625" style="2" customWidth="1"/>
    <col min="10" max="10" width="15.7109375" style="2" customWidth="1"/>
    <col min="11" max="11" width="16.28515625" style="2" customWidth="1"/>
    <col min="12" max="12" width="12.7109375" style="2" customWidth="1"/>
    <col min="13" max="13" width="12.140625" style="2" customWidth="1"/>
    <col min="14" max="14" width="12.28515625" style="2" customWidth="1"/>
    <col min="15" max="15" width="14.28515625" style="2" customWidth="1"/>
    <col min="16" max="16" width="20.28515625" style="2" hidden="1" customWidth="1"/>
    <col min="17" max="17" width="12.28515625" style="2" customWidth="1"/>
    <col min="18" max="18" width="15.28515625" style="180" customWidth="1"/>
    <col min="19" max="19" width="12.140625" style="183" customWidth="1"/>
    <col min="20" max="20" width="15.85546875" style="180" customWidth="1"/>
    <col min="21" max="21" width="27.28515625" style="2" customWidth="1"/>
    <col min="22" max="22" width="18.85546875" style="2" customWidth="1"/>
    <col min="23" max="23" width="30.140625" style="2" customWidth="1"/>
    <col min="24" max="24" width="17" style="2" customWidth="1"/>
    <col min="25" max="25" width="9.28515625" style="2"/>
    <col min="26" max="26" width="13.42578125" style="2" customWidth="1"/>
    <col min="27" max="27" width="34.5703125" style="2" customWidth="1"/>
    <col min="28" max="28" width="9.28515625" style="2"/>
    <col min="29" max="29" width="35" style="2" bestFit="1" customWidth="1"/>
    <col min="30" max="30" width="31.42578125" style="2" bestFit="1" customWidth="1"/>
    <col min="31" max="32" width="31.42578125" style="2" customWidth="1"/>
    <col min="33" max="34" width="9.28515625" style="2"/>
    <col min="35" max="35" width="12" style="2" bestFit="1" customWidth="1"/>
    <col min="36" max="996" width="9.28515625" style="2"/>
  </cols>
  <sheetData>
    <row r="1" spans="1:27" ht="20.25" x14ac:dyDescent="0.3">
      <c r="A1" s="1" t="s">
        <v>0</v>
      </c>
      <c r="B1" s="1"/>
      <c r="R1" s="4"/>
      <c r="S1" s="5"/>
      <c r="T1" s="4"/>
      <c r="U1" s="6"/>
      <c r="V1" s="3"/>
    </row>
    <row r="2" spans="1:27" ht="21" thickBot="1" x14ac:dyDescent="0.35">
      <c r="A2" s="7" t="s">
        <v>1</v>
      </c>
      <c r="B2" s="7"/>
      <c r="C2" s="8"/>
      <c r="D2" s="9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0"/>
      <c r="S2" s="11"/>
      <c r="T2" s="10"/>
      <c r="U2" s="12"/>
      <c r="V2" s="3"/>
    </row>
    <row r="3" spans="1:27" s="3" customFormat="1" ht="63.75" thickBot="1" x14ac:dyDescent="0.3">
      <c r="A3" s="13" t="s">
        <v>2</v>
      </c>
      <c r="B3" s="14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AA3" s="15" t="s">
        <v>26</v>
      </c>
    </row>
    <row r="4" spans="1:27" x14ac:dyDescent="0.25">
      <c r="A4" s="16" t="s">
        <v>27</v>
      </c>
      <c r="B4" s="16"/>
      <c r="C4" s="17"/>
      <c r="D4" s="18"/>
      <c r="E4" s="18"/>
      <c r="F4" s="17"/>
      <c r="G4" s="17"/>
      <c r="H4" s="17"/>
      <c r="I4" s="19"/>
      <c r="J4" s="17"/>
      <c r="K4" s="17"/>
      <c r="L4" s="17"/>
      <c r="M4" s="17"/>
      <c r="N4" s="17"/>
      <c r="O4" s="17"/>
      <c r="P4" s="17"/>
      <c r="Q4" s="17"/>
      <c r="R4" s="20"/>
      <c r="S4" s="21"/>
      <c r="T4" s="20"/>
      <c r="U4" s="17"/>
      <c r="V4" s="17"/>
    </row>
    <row r="5" spans="1:27" x14ac:dyDescent="0.25">
      <c r="A5" s="22">
        <v>1</v>
      </c>
      <c r="B5" s="22" t="s">
        <v>28</v>
      </c>
      <c r="C5" s="23" t="s">
        <v>29</v>
      </c>
      <c r="D5" s="24" t="s">
        <v>30</v>
      </c>
      <c r="E5" s="24" t="s">
        <v>31</v>
      </c>
      <c r="F5" s="25" t="s">
        <v>32</v>
      </c>
      <c r="G5" s="26">
        <v>43983</v>
      </c>
      <c r="H5" s="27">
        <v>75000</v>
      </c>
      <c r="I5" s="19">
        <v>30</v>
      </c>
      <c r="J5" s="27">
        <f>H5/30*I5</f>
        <v>75000</v>
      </c>
      <c r="K5" s="27">
        <v>10000</v>
      </c>
      <c r="L5" s="19"/>
      <c r="M5" s="28"/>
      <c r="N5" s="19"/>
      <c r="O5" s="29"/>
      <c r="P5" s="30"/>
      <c r="Q5" s="31">
        <v>4168</v>
      </c>
      <c r="R5" s="32"/>
      <c r="S5" s="33">
        <v>3250</v>
      </c>
      <c r="T5" s="32">
        <f t="shared" ref="T5:T9" si="0">J5+K5+0+L5-N5-O5-Q5-R5-S5</f>
        <v>77582</v>
      </c>
      <c r="U5" s="34"/>
      <c r="V5" s="25">
        <v>1010349514</v>
      </c>
      <c r="X5" s="25">
        <v>342708053</v>
      </c>
      <c r="Z5" s="35">
        <f>T5+50000</f>
        <v>127582</v>
      </c>
    </row>
    <row r="6" spans="1:27" ht="47.25" x14ac:dyDescent="0.25">
      <c r="A6" s="22">
        <f>1+A5</f>
        <v>2</v>
      </c>
      <c r="B6" s="22"/>
      <c r="C6" s="23" t="s">
        <v>33</v>
      </c>
      <c r="D6" s="24" t="s">
        <v>34</v>
      </c>
      <c r="E6" s="24" t="s">
        <v>35</v>
      </c>
      <c r="F6" s="25" t="s">
        <v>36</v>
      </c>
      <c r="G6" s="26">
        <v>46174</v>
      </c>
      <c r="H6" s="27">
        <v>200000</v>
      </c>
      <c r="I6" s="19">
        <v>30</v>
      </c>
      <c r="J6" s="27">
        <f t="shared" ref="J6:J9" si="1">H6/30*I6</f>
        <v>200000</v>
      </c>
      <c r="K6" s="27"/>
      <c r="L6" s="19"/>
      <c r="M6" s="28"/>
      <c r="N6" s="19"/>
      <c r="O6" s="29"/>
      <c r="P6" s="30"/>
      <c r="Q6" s="31">
        <v>6642</v>
      </c>
      <c r="R6" s="32"/>
      <c r="S6" s="33"/>
      <c r="T6" s="32">
        <f t="shared" si="0"/>
        <v>193358</v>
      </c>
      <c r="U6" s="34"/>
      <c r="V6" s="25"/>
      <c r="X6" s="25"/>
    </row>
    <row r="7" spans="1:27" x14ac:dyDescent="0.25">
      <c r="A7" s="22">
        <f t="shared" ref="A7:A9" si="2">1+A6</f>
        <v>3</v>
      </c>
      <c r="B7" s="22" t="s">
        <v>37</v>
      </c>
      <c r="C7" s="23" t="s">
        <v>38</v>
      </c>
      <c r="D7" s="24" t="s">
        <v>39</v>
      </c>
      <c r="E7" s="24" t="s">
        <v>40</v>
      </c>
      <c r="F7" s="25" t="s">
        <v>41</v>
      </c>
      <c r="G7" s="26">
        <v>45594</v>
      </c>
      <c r="H7" s="27">
        <v>75000</v>
      </c>
      <c r="I7" s="19">
        <v>30</v>
      </c>
      <c r="J7" s="27">
        <f t="shared" si="1"/>
        <v>75000</v>
      </c>
      <c r="K7" s="27"/>
      <c r="L7" s="19"/>
      <c r="M7" s="19"/>
      <c r="N7" s="19"/>
      <c r="O7" s="29"/>
      <c r="P7" s="30"/>
      <c r="Q7" s="31">
        <v>1295</v>
      </c>
      <c r="R7" s="32"/>
      <c r="S7" s="33">
        <v>250</v>
      </c>
      <c r="T7" s="32">
        <f t="shared" si="0"/>
        <v>73455</v>
      </c>
      <c r="U7" s="36"/>
      <c r="V7" s="25">
        <v>1010356499</v>
      </c>
      <c r="X7" s="25">
        <v>342708046</v>
      </c>
    </row>
    <row r="8" spans="1:27" x14ac:dyDescent="0.25">
      <c r="A8" s="22">
        <f t="shared" si="2"/>
        <v>4</v>
      </c>
      <c r="B8" s="22"/>
      <c r="C8" s="23" t="s">
        <v>42</v>
      </c>
      <c r="D8" s="24" t="s">
        <v>43</v>
      </c>
      <c r="E8" s="24" t="s">
        <v>44</v>
      </c>
      <c r="F8" s="25" t="s">
        <v>45</v>
      </c>
      <c r="G8" s="26">
        <v>46132</v>
      </c>
      <c r="H8" s="27">
        <v>100000</v>
      </c>
      <c r="I8" s="19">
        <v>30</v>
      </c>
      <c r="J8" s="27">
        <f t="shared" si="1"/>
        <v>100000</v>
      </c>
      <c r="K8" s="27">
        <f>833.333333333333*I8</f>
        <v>24999.999999999993</v>
      </c>
      <c r="L8" s="19">
        <v>125000</v>
      </c>
      <c r="M8" s="37"/>
      <c r="N8" s="19"/>
      <c r="O8" s="29"/>
      <c r="P8" s="30"/>
      <c r="Q8" s="31"/>
      <c r="R8" s="32"/>
      <c r="S8" s="33"/>
      <c r="T8" s="32">
        <f t="shared" si="0"/>
        <v>250000</v>
      </c>
      <c r="U8" s="36"/>
      <c r="V8" s="25"/>
      <c r="X8" s="25">
        <v>368527478</v>
      </c>
    </row>
    <row r="9" spans="1:27" x14ac:dyDescent="0.25">
      <c r="A9" s="22">
        <f t="shared" si="2"/>
        <v>5</v>
      </c>
      <c r="B9" s="22" t="s">
        <v>46</v>
      </c>
      <c r="C9" s="23" t="s">
        <v>47</v>
      </c>
      <c r="D9" s="24" t="s">
        <v>48</v>
      </c>
      <c r="E9" s="24" t="s">
        <v>49</v>
      </c>
      <c r="F9" s="25" t="s">
        <v>50</v>
      </c>
      <c r="G9" s="26">
        <v>45482</v>
      </c>
      <c r="H9" s="27">
        <v>70000</v>
      </c>
      <c r="I9" s="19">
        <v>30</v>
      </c>
      <c r="J9" s="27">
        <f t="shared" si="1"/>
        <v>70000</v>
      </c>
      <c r="K9" s="27"/>
      <c r="L9" s="19"/>
      <c r="M9" s="28"/>
      <c r="N9" s="19"/>
      <c r="O9" s="29"/>
      <c r="P9" s="30"/>
      <c r="Q9" s="31"/>
      <c r="R9" s="32"/>
      <c r="S9" s="33">
        <v>240</v>
      </c>
      <c r="T9" s="32">
        <f t="shared" si="0"/>
        <v>69760</v>
      </c>
      <c r="U9" s="38"/>
      <c r="V9" s="25">
        <v>1010350923</v>
      </c>
      <c r="W9" s="35"/>
      <c r="X9" s="25">
        <v>342708039</v>
      </c>
    </row>
    <row r="10" spans="1:27" ht="16.5" thickBot="1" x14ac:dyDescent="0.3">
      <c r="B10" s="22"/>
      <c r="D10" s="39"/>
      <c r="E10" s="40"/>
      <c r="F10" s="40"/>
      <c r="G10" s="41"/>
      <c r="H10" s="42">
        <f>SUM(H5:H9)</f>
        <v>520000</v>
      </c>
      <c r="I10" s="41"/>
      <c r="J10" s="42">
        <f t="shared" ref="J10:U10" si="3">SUM(J5:J9)</f>
        <v>520000</v>
      </c>
      <c r="K10" s="42">
        <f t="shared" si="3"/>
        <v>34999.999999999993</v>
      </c>
      <c r="L10" s="42">
        <f t="shared" si="3"/>
        <v>125000</v>
      </c>
      <c r="M10" s="42">
        <f t="shared" si="3"/>
        <v>0</v>
      </c>
      <c r="N10" s="42">
        <f t="shared" si="3"/>
        <v>0</v>
      </c>
      <c r="O10" s="42">
        <f t="shared" si="3"/>
        <v>0</v>
      </c>
      <c r="P10" s="42"/>
      <c r="Q10" s="42">
        <f t="shared" si="3"/>
        <v>12105</v>
      </c>
      <c r="R10" s="42">
        <f t="shared" si="3"/>
        <v>0</v>
      </c>
      <c r="S10" s="42">
        <f t="shared" si="3"/>
        <v>3740</v>
      </c>
      <c r="T10" s="42">
        <f t="shared" si="3"/>
        <v>664155</v>
      </c>
      <c r="U10" s="42">
        <f t="shared" si="3"/>
        <v>0</v>
      </c>
      <c r="V10" s="40"/>
      <c r="X10" s="25"/>
    </row>
    <row r="11" spans="1:27" ht="16.5" thickTop="1" x14ac:dyDescent="0.25">
      <c r="A11" s="16" t="s">
        <v>51</v>
      </c>
      <c r="B11" s="22"/>
      <c r="C11" s="17"/>
      <c r="D11" s="18"/>
      <c r="E11" s="18"/>
      <c r="F11" s="17"/>
      <c r="G11" s="17"/>
      <c r="H11" s="17"/>
      <c r="I11" s="19"/>
      <c r="J11" s="17"/>
      <c r="K11" s="17"/>
      <c r="L11" s="17"/>
      <c r="M11" s="17"/>
      <c r="N11" s="17"/>
      <c r="O11" s="17"/>
      <c r="P11" s="17"/>
      <c r="Q11" s="17"/>
      <c r="R11" s="20"/>
      <c r="S11" s="21"/>
      <c r="T11" s="20"/>
      <c r="U11" s="17"/>
      <c r="V11" s="17"/>
      <c r="X11" s="25"/>
    </row>
    <row r="12" spans="1:27" ht="47.25" x14ac:dyDescent="0.25">
      <c r="A12" s="22">
        <v>1</v>
      </c>
      <c r="B12" s="22" t="s">
        <v>52</v>
      </c>
      <c r="C12" s="23" t="s">
        <v>53</v>
      </c>
      <c r="D12" s="24" t="s">
        <v>54</v>
      </c>
      <c r="E12" s="24" t="s">
        <v>55</v>
      </c>
      <c r="F12" s="25" t="s">
        <v>56</v>
      </c>
      <c r="G12" s="26">
        <v>44459</v>
      </c>
      <c r="H12" s="27">
        <v>250000</v>
      </c>
      <c r="I12" s="19">
        <v>30</v>
      </c>
      <c r="J12" s="27">
        <f>H12/30*I12</f>
        <v>250000.00000000003</v>
      </c>
      <c r="K12" s="27">
        <v>30000</v>
      </c>
      <c r="L12" s="19"/>
      <c r="M12" s="31">
        <f>(1904+6130)/2-4017</f>
        <v>0</v>
      </c>
      <c r="N12" s="19"/>
      <c r="O12" s="185">
        <f>50000+15000</f>
        <v>65000</v>
      </c>
      <c r="P12" s="43" t="s">
        <v>57</v>
      </c>
      <c r="Q12" s="31"/>
      <c r="R12" s="32"/>
      <c r="S12" s="33">
        <v>6000</v>
      </c>
      <c r="T12" s="32">
        <f>J12+K12+0+L12-N12-O12-Q12-R12-S12</f>
        <v>209000</v>
      </c>
      <c r="U12" s="38"/>
      <c r="V12" s="25">
        <v>1010348713</v>
      </c>
      <c r="X12" s="25"/>
    </row>
    <row r="13" spans="1:27" x14ac:dyDescent="0.25">
      <c r="A13" s="22"/>
      <c r="B13" s="22" t="s">
        <v>58</v>
      </c>
      <c r="C13" s="23" t="s">
        <v>59</v>
      </c>
      <c r="D13" s="24" t="s">
        <v>53</v>
      </c>
      <c r="E13" s="24" t="s">
        <v>60</v>
      </c>
      <c r="F13" s="25" t="s">
        <v>61</v>
      </c>
      <c r="G13" s="26">
        <v>44459</v>
      </c>
      <c r="H13" s="27">
        <v>150000</v>
      </c>
      <c r="I13" s="19"/>
      <c r="J13" s="44">
        <v>150000</v>
      </c>
      <c r="K13" s="44"/>
      <c r="L13" s="45"/>
      <c r="M13" s="45"/>
      <c r="N13" s="45"/>
      <c r="O13" s="187"/>
      <c r="P13" s="46"/>
      <c r="Q13" s="47"/>
      <c r="R13" s="48"/>
      <c r="S13" s="49">
        <v>6000</v>
      </c>
      <c r="T13" s="32">
        <f>J13+K13+0+L13-N13-O13-Q13-R13-S13</f>
        <v>144000</v>
      </c>
      <c r="U13" s="38"/>
      <c r="V13" s="25"/>
      <c r="X13" s="25"/>
    </row>
    <row r="14" spans="1:27" x14ac:dyDescent="0.25">
      <c r="A14" s="22">
        <v>2</v>
      </c>
      <c r="B14" s="22" t="s">
        <v>62</v>
      </c>
      <c r="C14" s="50" t="s">
        <v>63</v>
      </c>
      <c r="D14" s="51" t="s">
        <v>64</v>
      </c>
      <c r="E14" s="51" t="s">
        <v>65</v>
      </c>
      <c r="F14" s="52" t="s">
        <v>66</v>
      </c>
      <c r="G14" s="53">
        <v>45311</v>
      </c>
      <c r="H14" s="44">
        <v>200000</v>
      </c>
      <c r="I14" s="19">
        <v>30</v>
      </c>
      <c r="J14" s="54">
        <f>H14/30*I14</f>
        <v>200000</v>
      </c>
      <c r="K14" s="54">
        <v>25000</v>
      </c>
      <c r="L14" s="55"/>
      <c r="M14" s="55"/>
      <c r="N14" s="55"/>
      <c r="O14" s="188"/>
      <c r="P14" s="54"/>
      <c r="Q14" s="54"/>
      <c r="R14" s="56"/>
      <c r="S14" s="57">
        <v>13500</v>
      </c>
      <c r="T14" s="32">
        <f>J14+K14+0+L14-N14-O14-Q14-R14-S14</f>
        <v>211500</v>
      </c>
      <c r="U14" s="38"/>
      <c r="V14" s="58">
        <v>1010417904</v>
      </c>
      <c r="X14" s="25"/>
    </row>
    <row r="15" spans="1:27" x14ac:dyDescent="0.25">
      <c r="A15" s="22"/>
      <c r="B15" s="22" t="s">
        <v>67</v>
      </c>
      <c r="C15" s="59" t="s">
        <v>68</v>
      </c>
      <c r="D15" s="60" t="s">
        <v>63</v>
      </c>
      <c r="E15" s="60" t="s">
        <v>69</v>
      </c>
      <c r="F15" s="25" t="s">
        <v>70</v>
      </c>
      <c r="G15" s="61">
        <v>45311</v>
      </c>
      <c r="H15" s="54">
        <v>200000</v>
      </c>
      <c r="I15" s="19"/>
      <c r="J15" s="54">
        <f>H15/30*I15</f>
        <v>0</v>
      </c>
      <c r="K15" s="54"/>
      <c r="L15" s="55"/>
      <c r="M15" s="55"/>
      <c r="N15" s="55"/>
      <c r="O15" s="188"/>
      <c r="P15" s="54"/>
      <c r="Q15" s="54"/>
      <c r="R15" s="56"/>
      <c r="S15" s="57">
        <v>13500</v>
      </c>
      <c r="T15" s="32">
        <f>J15+K15+0+L15-N15-O15-Q15-R15-S15</f>
        <v>-13500</v>
      </c>
      <c r="U15" s="38"/>
      <c r="V15" s="62"/>
      <c r="W15" s="63"/>
      <c r="X15" s="25"/>
    </row>
    <row r="16" spans="1:27" ht="16.5" thickBot="1" x14ac:dyDescent="0.3">
      <c r="B16" s="22"/>
      <c r="D16" s="39"/>
      <c r="E16" s="40"/>
      <c r="F16" s="40"/>
      <c r="G16" s="41"/>
      <c r="H16" s="42">
        <f>SUM(H12:H15)</f>
        <v>800000</v>
      </c>
      <c r="I16" s="42"/>
      <c r="J16" s="42">
        <f t="shared" ref="J16:S16" si="4">SUM(J12:J15)</f>
        <v>600000</v>
      </c>
      <c r="K16" s="42">
        <f t="shared" si="4"/>
        <v>55000</v>
      </c>
      <c r="L16" s="42">
        <f t="shared" si="4"/>
        <v>0</v>
      </c>
      <c r="M16" s="42">
        <f t="shared" si="4"/>
        <v>0</v>
      </c>
      <c r="N16" s="42">
        <f t="shared" si="4"/>
        <v>0</v>
      </c>
      <c r="O16" s="186">
        <f t="shared" si="4"/>
        <v>65000</v>
      </c>
      <c r="P16" s="42"/>
      <c r="Q16" s="42">
        <f t="shared" si="4"/>
        <v>0</v>
      </c>
      <c r="R16" s="42">
        <f t="shared" si="4"/>
        <v>0</v>
      </c>
      <c r="S16" s="42">
        <f t="shared" si="4"/>
        <v>39000</v>
      </c>
      <c r="T16" s="42">
        <f>SUM(T12:T15)</f>
        <v>551000</v>
      </c>
      <c r="U16" s="42">
        <f t="shared" ref="U16" si="5">SUM(U12:U15)</f>
        <v>0</v>
      </c>
      <c r="V16" s="40"/>
      <c r="X16" s="25"/>
    </row>
    <row r="17" spans="1:35" ht="16.5" thickTop="1" x14ac:dyDescent="0.25">
      <c r="A17" s="16" t="s">
        <v>71</v>
      </c>
      <c r="B17" s="22"/>
      <c r="C17" s="17"/>
      <c r="D17" s="18"/>
      <c r="E17" s="18"/>
      <c r="F17" s="17"/>
      <c r="G17" s="17"/>
      <c r="H17" s="17"/>
      <c r="I17" s="19"/>
      <c r="J17" s="17"/>
      <c r="K17" s="17"/>
      <c r="L17" s="17"/>
      <c r="M17" s="17"/>
      <c r="N17" s="17"/>
      <c r="O17" s="184"/>
      <c r="P17" s="17"/>
      <c r="Q17" s="17"/>
      <c r="R17" s="20"/>
      <c r="S17" s="21"/>
      <c r="T17" s="20"/>
      <c r="U17" s="17"/>
      <c r="V17" s="17"/>
      <c r="X17" s="25"/>
    </row>
    <row r="18" spans="1:35" ht="31.5" x14ac:dyDescent="0.25">
      <c r="A18" s="22">
        <v>1</v>
      </c>
      <c r="B18" s="22" t="s">
        <v>72</v>
      </c>
      <c r="C18" s="23" t="s">
        <v>73</v>
      </c>
      <c r="D18" s="24" t="s">
        <v>74</v>
      </c>
      <c r="E18" s="24" t="s">
        <v>75</v>
      </c>
      <c r="F18" s="24" t="s">
        <v>76</v>
      </c>
      <c r="G18" s="26">
        <v>44291</v>
      </c>
      <c r="H18" s="27">
        <v>150000</v>
      </c>
      <c r="I18" s="19">
        <v>30</v>
      </c>
      <c r="J18" s="27">
        <f>H18/30*I18</f>
        <v>150000</v>
      </c>
      <c r="K18" s="19">
        <v>10000</v>
      </c>
      <c r="L18" s="196">
        <v>50000</v>
      </c>
      <c r="M18" s="28"/>
      <c r="N18" s="19"/>
      <c r="O18" s="185">
        <f>50000+154000</f>
        <v>204000</v>
      </c>
      <c r="P18" s="20">
        <v>1</v>
      </c>
      <c r="Q18" s="31"/>
      <c r="R18" s="32"/>
      <c r="S18" s="33">
        <v>6000</v>
      </c>
      <c r="T18" s="32">
        <f>J18+K18+0+L18-N18-O18-Q18-R18-S18</f>
        <v>0</v>
      </c>
      <c r="U18" s="38"/>
      <c r="V18" s="24">
        <v>1010349499</v>
      </c>
      <c r="X18" s="25">
        <v>342708015</v>
      </c>
    </row>
    <row r="19" spans="1:35" x14ac:dyDescent="0.25">
      <c r="A19" s="22"/>
      <c r="B19" s="22"/>
      <c r="C19" s="23"/>
      <c r="D19" s="24"/>
      <c r="E19" s="24"/>
      <c r="F19" s="24"/>
      <c r="G19" s="26"/>
      <c r="H19" s="27"/>
      <c r="I19" s="19"/>
      <c r="J19" s="27"/>
      <c r="K19" s="27"/>
      <c r="L19" s="19"/>
      <c r="M19" s="28"/>
      <c r="N19" s="19"/>
      <c r="O19" s="185"/>
      <c r="P19" s="30"/>
      <c r="Q19" s="31"/>
      <c r="R19" s="32"/>
      <c r="S19" s="33"/>
      <c r="T19" s="32"/>
      <c r="U19" s="38"/>
      <c r="V19" s="24"/>
      <c r="X19" s="25"/>
    </row>
    <row r="20" spans="1:35" ht="16.5" thickBot="1" x14ac:dyDescent="0.3">
      <c r="B20" s="22"/>
      <c r="D20" s="39"/>
      <c r="E20" s="40"/>
      <c r="F20" s="40"/>
      <c r="G20" s="41"/>
      <c r="H20" s="42">
        <f>SUM(H18:H19)</f>
        <v>150000</v>
      </c>
      <c r="I20" s="41"/>
      <c r="J20" s="42">
        <f t="shared" ref="J20:U20" si="6">SUM(J18:J19)</f>
        <v>150000</v>
      </c>
      <c r="K20" s="42">
        <f t="shared" si="6"/>
        <v>10000</v>
      </c>
      <c r="L20" s="42">
        <f t="shared" si="6"/>
        <v>50000</v>
      </c>
      <c r="M20" s="42">
        <f t="shared" si="6"/>
        <v>0</v>
      </c>
      <c r="N20" s="42">
        <f t="shared" si="6"/>
        <v>0</v>
      </c>
      <c r="O20" s="186">
        <f t="shared" si="6"/>
        <v>204000</v>
      </c>
      <c r="P20" s="42"/>
      <c r="Q20" s="42">
        <f t="shared" si="6"/>
        <v>0</v>
      </c>
      <c r="R20" s="42">
        <f t="shared" si="6"/>
        <v>0</v>
      </c>
      <c r="S20" s="42">
        <f t="shared" si="6"/>
        <v>6000</v>
      </c>
      <c r="T20" s="42">
        <f>SUM(T18:T19)</f>
        <v>0</v>
      </c>
      <c r="U20" s="42">
        <f t="shared" si="6"/>
        <v>0</v>
      </c>
      <c r="V20" s="40"/>
      <c r="X20" s="25"/>
    </row>
    <row r="21" spans="1:35" ht="16.5" thickTop="1" x14ac:dyDescent="0.25">
      <c r="A21" s="16" t="s">
        <v>77</v>
      </c>
      <c r="B21" s="22"/>
      <c r="C21" s="17"/>
      <c r="D21" s="18"/>
      <c r="E21" s="18"/>
      <c r="F21" s="17"/>
      <c r="G21" s="17"/>
      <c r="H21" s="17"/>
      <c r="I21" s="19"/>
      <c r="J21" s="17"/>
      <c r="K21" s="17"/>
      <c r="L21" s="17"/>
      <c r="M21" s="17"/>
      <c r="N21" s="17"/>
      <c r="O21" s="184"/>
      <c r="P21" s="17"/>
      <c r="Q21" s="17"/>
      <c r="R21" s="20"/>
      <c r="S21" s="21"/>
      <c r="T21" s="20"/>
      <c r="U21" s="17"/>
      <c r="V21" s="17"/>
      <c r="X21" s="25"/>
    </row>
    <row r="22" spans="1:35" x14ac:dyDescent="0.25">
      <c r="A22" s="22">
        <v>1</v>
      </c>
      <c r="B22" s="22" t="s">
        <v>78</v>
      </c>
      <c r="C22" s="23" t="s">
        <v>79</v>
      </c>
      <c r="D22" s="24" t="s">
        <v>80</v>
      </c>
      <c r="E22" s="24" t="s">
        <v>81</v>
      </c>
      <c r="F22" s="24" t="s">
        <v>82</v>
      </c>
      <c r="G22" s="26">
        <v>44291</v>
      </c>
      <c r="H22" s="27">
        <v>85250</v>
      </c>
      <c r="I22" s="19">
        <v>30</v>
      </c>
      <c r="J22" s="27">
        <f>H22/30*I22</f>
        <v>85250</v>
      </c>
      <c r="K22" s="27"/>
      <c r="L22" s="19"/>
      <c r="M22" s="28">
        <f>20000-10000-10000+12500-12500</f>
        <v>0</v>
      </c>
      <c r="N22" s="19"/>
      <c r="O22" s="185">
        <v>30000</v>
      </c>
      <c r="P22" s="20">
        <v>11</v>
      </c>
      <c r="Q22" s="31"/>
      <c r="R22" s="32"/>
      <c r="S22" s="33">
        <v>353</v>
      </c>
      <c r="T22" s="32">
        <f>J22+K22+0+L22-N22-O22-Q22-R22-S22</f>
        <v>54897</v>
      </c>
      <c r="U22" s="36"/>
      <c r="V22" s="24">
        <v>1010354136</v>
      </c>
      <c r="X22" s="25">
        <v>342708008</v>
      </c>
    </row>
    <row r="23" spans="1:35" s="68" customFormat="1" ht="31.5" x14ac:dyDescent="0.25">
      <c r="A23" s="22">
        <v>2</v>
      </c>
      <c r="B23" s="22" t="s">
        <v>83</v>
      </c>
      <c r="C23" s="64" t="s">
        <v>84</v>
      </c>
      <c r="D23" s="65" t="s">
        <v>85</v>
      </c>
      <c r="E23" s="66" t="s">
        <v>86</v>
      </c>
      <c r="F23" s="65" t="s">
        <v>87</v>
      </c>
      <c r="G23" s="26">
        <v>45782</v>
      </c>
      <c r="H23" s="27">
        <v>50000</v>
      </c>
      <c r="I23" s="19">
        <v>30</v>
      </c>
      <c r="J23" s="54">
        <f>H23/30*I23</f>
        <v>50000</v>
      </c>
      <c r="K23" s="27"/>
      <c r="L23" s="19"/>
      <c r="M23" s="28"/>
      <c r="N23" s="19"/>
      <c r="O23" s="185">
        <v>15000</v>
      </c>
      <c r="P23" s="20">
        <v>10</v>
      </c>
      <c r="Q23" s="31"/>
      <c r="R23" s="32"/>
      <c r="S23" s="67">
        <v>0</v>
      </c>
      <c r="T23" s="32">
        <f>J23+K23+0+L23-N23-O23-Q23-R23-S23</f>
        <v>35000</v>
      </c>
      <c r="U23" s="36"/>
      <c r="V23" s="65"/>
      <c r="X23" s="25">
        <v>343439749</v>
      </c>
      <c r="AB23" s="2"/>
      <c r="AC23" s="2"/>
      <c r="AD23" s="2"/>
      <c r="AE23" s="2"/>
      <c r="AF23" s="2"/>
      <c r="AH23" s="2"/>
      <c r="AI23" s="2"/>
    </row>
    <row r="24" spans="1:35" s="68" customFormat="1" x14ac:dyDescent="0.25">
      <c r="A24" s="22">
        <v>3</v>
      </c>
      <c r="B24" s="22" t="s">
        <v>88</v>
      </c>
      <c r="C24" s="69" t="s">
        <v>89</v>
      </c>
      <c r="D24" s="66" t="s">
        <v>90</v>
      </c>
      <c r="E24" s="66" t="s">
        <v>86</v>
      </c>
      <c r="F24" s="66" t="s">
        <v>91</v>
      </c>
      <c r="G24" s="61">
        <v>44179</v>
      </c>
      <c r="H24" s="54">
        <v>65000</v>
      </c>
      <c r="I24" s="19">
        <v>30</v>
      </c>
      <c r="J24" s="54">
        <f>H24/30*I24</f>
        <v>64999.999999999993</v>
      </c>
      <c r="K24" s="54"/>
      <c r="L24" s="55"/>
      <c r="M24" s="70"/>
      <c r="N24" s="55"/>
      <c r="O24" s="185"/>
      <c r="P24" s="30"/>
      <c r="Q24" s="71">
        <v>350</v>
      </c>
      <c r="R24" s="56"/>
      <c r="S24" s="72">
        <v>0</v>
      </c>
      <c r="T24" s="32">
        <f>J24+K24+0+L24-N24-O24-Q24-R24-S24</f>
        <v>64649.999999999993</v>
      </c>
      <c r="U24" s="36"/>
      <c r="V24" s="66">
        <v>1010355757</v>
      </c>
      <c r="X24" s="25">
        <v>342707982</v>
      </c>
      <c r="AB24" s="2"/>
      <c r="AC24" s="2"/>
      <c r="AD24" s="2"/>
      <c r="AE24" s="2"/>
      <c r="AF24" s="2"/>
      <c r="AH24" s="2"/>
      <c r="AI24" s="2"/>
    </row>
    <row r="25" spans="1:35" ht="16.5" thickBot="1" x14ac:dyDescent="0.3">
      <c r="B25" s="22"/>
      <c r="D25" s="39"/>
      <c r="E25" s="40"/>
      <c r="F25" s="40"/>
      <c r="G25" s="41"/>
      <c r="H25" s="42">
        <f>SUM(H22:H24)</f>
        <v>200250</v>
      </c>
      <c r="I25" s="41"/>
      <c r="J25" s="42">
        <f t="shared" ref="J25:U25" si="7">SUM(J22:J24)</f>
        <v>200250</v>
      </c>
      <c r="K25" s="42">
        <f t="shared" si="7"/>
        <v>0</v>
      </c>
      <c r="L25" s="42">
        <f t="shared" si="7"/>
        <v>0</v>
      </c>
      <c r="M25" s="42">
        <f t="shared" si="7"/>
        <v>0</v>
      </c>
      <c r="N25" s="42">
        <f t="shared" si="7"/>
        <v>0</v>
      </c>
      <c r="O25" s="186">
        <f t="shared" si="7"/>
        <v>45000</v>
      </c>
      <c r="P25" s="42"/>
      <c r="Q25" s="42">
        <f t="shared" si="7"/>
        <v>350</v>
      </c>
      <c r="R25" s="42">
        <f t="shared" si="7"/>
        <v>0</v>
      </c>
      <c r="S25" s="73">
        <f t="shared" si="7"/>
        <v>353</v>
      </c>
      <c r="T25" s="42">
        <f>SUM(T22:T24)</f>
        <v>154547</v>
      </c>
      <c r="U25" s="42">
        <f t="shared" si="7"/>
        <v>0</v>
      </c>
      <c r="V25" s="40"/>
      <c r="X25" s="25"/>
    </row>
    <row r="26" spans="1:35" ht="16.5" thickTop="1" x14ac:dyDescent="0.25">
      <c r="A26" s="16" t="s">
        <v>92</v>
      </c>
      <c r="B26" s="22"/>
      <c r="C26" s="17"/>
      <c r="D26" s="18"/>
      <c r="E26" s="18"/>
      <c r="F26" s="17"/>
      <c r="G26" s="17"/>
      <c r="H26" s="17"/>
      <c r="I26" s="19"/>
      <c r="J26" s="17"/>
      <c r="K26" s="17"/>
      <c r="L26" s="17"/>
      <c r="M26" s="17"/>
      <c r="N26" s="17"/>
      <c r="O26" s="184"/>
      <c r="P26" s="17"/>
      <c r="Q26" s="17"/>
      <c r="R26" s="20"/>
      <c r="S26" s="21"/>
      <c r="T26" s="20"/>
      <c r="U26" s="17"/>
      <c r="V26" s="17"/>
      <c r="X26" s="25"/>
    </row>
    <row r="27" spans="1:35" x14ac:dyDescent="0.25">
      <c r="A27" s="22">
        <v>1</v>
      </c>
      <c r="B27" s="22" t="s">
        <v>93</v>
      </c>
      <c r="C27" s="23" t="s">
        <v>94</v>
      </c>
      <c r="D27" s="24" t="s">
        <v>90</v>
      </c>
      <c r="E27" s="24" t="s">
        <v>95</v>
      </c>
      <c r="F27" s="24" t="s">
        <v>96</v>
      </c>
      <c r="G27" s="26">
        <v>44435</v>
      </c>
      <c r="H27" s="27">
        <v>125000</v>
      </c>
      <c r="I27" s="19">
        <v>30</v>
      </c>
      <c r="J27" s="27">
        <f t="shared" ref="J27:J35" si="8">H27/30*I27</f>
        <v>125000.00000000001</v>
      </c>
      <c r="K27" s="27"/>
      <c r="L27" s="19"/>
      <c r="M27" s="19"/>
      <c r="N27" s="19"/>
      <c r="O27" s="185"/>
      <c r="P27" s="30"/>
      <c r="Q27" s="31">
        <v>7657</v>
      </c>
      <c r="R27" s="32"/>
      <c r="S27" s="33">
        <v>3250</v>
      </c>
      <c r="T27" s="32">
        <f t="shared" ref="T27:T35" si="9">J27+K27+0+L27-N27-O27-Q27-R27-S27</f>
        <v>114093.00000000001</v>
      </c>
      <c r="U27" s="38"/>
      <c r="V27" s="24">
        <v>1010366716</v>
      </c>
      <c r="X27" s="25">
        <v>342707975</v>
      </c>
    </row>
    <row r="28" spans="1:35" x14ac:dyDescent="0.25">
      <c r="A28" s="22">
        <f t="shared" ref="A28:A35" si="10">1+A27</f>
        <v>2</v>
      </c>
      <c r="B28" s="22" t="s">
        <v>97</v>
      </c>
      <c r="C28" s="23" t="s">
        <v>98</v>
      </c>
      <c r="D28" s="24" t="s">
        <v>99</v>
      </c>
      <c r="E28" s="24" t="s">
        <v>100</v>
      </c>
      <c r="F28" s="24" t="s">
        <v>101</v>
      </c>
      <c r="G28" s="26">
        <v>45901</v>
      </c>
      <c r="H28" s="27">
        <v>40000</v>
      </c>
      <c r="I28" s="19">
        <v>30</v>
      </c>
      <c r="J28" s="27">
        <f t="shared" si="8"/>
        <v>40000</v>
      </c>
      <c r="K28" s="27"/>
      <c r="L28" s="19"/>
      <c r="M28" s="37"/>
      <c r="N28" s="19"/>
      <c r="O28" s="185"/>
      <c r="P28" s="30"/>
      <c r="Q28" s="31"/>
      <c r="R28" s="32"/>
      <c r="S28" s="33"/>
      <c r="T28" s="32">
        <f t="shared" si="9"/>
        <v>40000</v>
      </c>
      <c r="U28" s="38"/>
      <c r="V28" s="24"/>
      <c r="X28" s="25">
        <v>342707968</v>
      </c>
    </row>
    <row r="29" spans="1:35" x14ac:dyDescent="0.25">
      <c r="A29" s="22">
        <f t="shared" si="10"/>
        <v>3</v>
      </c>
      <c r="B29" s="22" t="s">
        <v>102</v>
      </c>
      <c r="C29" s="23" t="s">
        <v>103</v>
      </c>
      <c r="D29" s="24" t="s">
        <v>104</v>
      </c>
      <c r="E29" s="24" t="s">
        <v>105</v>
      </c>
      <c r="F29" s="24" t="s">
        <v>106</v>
      </c>
      <c r="G29" s="26">
        <v>45964</v>
      </c>
      <c r="H29" s="27">
        <v>60000</v>
      </c>
      <c r="I29" s="19">
        <v>30</v>
      </c>
      <c r="J29" s="27">
        <f t="shared" si="8"/>
        <v>60000</v>
      </c>
      <c r="K29" s="27"/>
      <c r="L29" s="19"/>
      <c r="M29" s="37"/>
      <c r="N29" s="19"/>
      <c r="O29" s="185">
        <v>30000</v>
      </c>
      <c r="P29" s="20">
        <v>44</v>
      </c>
      <c r="Q29" s="31">
        <v>11981</v>
      </c>
      <c r="R29" s="32"/>
      <c r="S29" s="33"/>
      <c r="T29" s="32">
        <f t="shared" si="9"/>
        <v>18019</v>
      </c>
      <c r="U29" s="38"/>
      <c r="V29" s="24"/>
      <c r="X29" s="25">
        <v>343389912</v>
      </c>
    </row>
    <row r="30" spans="1:35" ht="31.5" x14ac:dyDescent="0.25">
      <c r="A30" s="22">
        <f t="shared" si="10"/>
        <v>4</v>
      </c>
      <c r="B30" s="22" t="s">
        <v>107</v>
      </c>
      <c r="C30" s="23" t="s">
        <v>108</v>
      </c>
      <c r="D30" s="24" t="s">
        <v>109</v>
      </c>
      <c r="E30" s="24" t="s">
        <v>110</v>
      </c>
      <c r="F30" s="24" t="s">
        <v>111</v>
      </c>
      <c r="G30" s="26">
        <v>44284</v>
      </c>
      <c r="H30" s="27">
        <f>55000+5000</f>
        <v>60000</v>
      </c>
      <c r="I30" s="19">
        <v>30</v>
      </c>
      <c r="J30" s="27">
        <f t="shared" si="8"/>
        <v>60000</v>
      </c>
      <c r="K30" s="27"/>
      <c r="L30" s="19"/>
      <c r="M30" s="28"/>
      <c r="N30" s="19"/>
      <c r="O30" s="185"/>
      <c r="P30" s="30"/>
      <c r="Q30" s="31"/>
      <c r="R30" s="32"/>
      <c r="S30" s="33">
        <v>0</v>
      </c>
      <c r="T30" s="32">
        <f t="shared" si="9"/>
        <v>60000</v>
      </c>
      <c r="U30" s="36"/>
      <c r="V30" s="24">
        <v>1010368949</v>
      </c>
      <c r="X30" s="25">
        <v>342707951</v>
      </c>
      <c r="AA30" s="2" t="s">
        <v>112</v>
      </c>
    </row>
    <row r="31" spans="1:35" x14ac:dyDescent="0.25">
      <c r="A31" s="22">
        <f t="shared" si="10"/>
        <v>5</v>
      </c>
      <c r="B31" s="22" t="s">
        <v>113</v>
      </c>
      <c r="C31" s="23" t="s">
        <v>114</v>
      </c>
      <c r="D31" s="24" t="s">
        <v>115</v>
      </c>
      <c r="E31" s="24" t="s">
        <v>110</v>
      </c>
      <c r="F31" s="24" t="s">
        <v>116</v>
      </c>
      <c r="G31" s="26">
        <v>44484</v>
      </c>
      <c r="H31" s="27">
        <f>45000+5000</f>
        <v>50000</v>
      </c>
      <c r="I31" s="19">
        <v>30</v>
      </c>
      <c r="J31" s="27">
        <f t="shared" si="8"/>
        <v>50000</v>
      </c>
      <c r="K31" s="27"/>
      <c r="L31" s="19"/>
      <c r="M31" s="28"/>
      <c r="N31" s="19"/>
      <c r="O31" s="185"/>
      <c r="P31" s="30"/>
      <c r="Q31" s="31"/>
      <c r="R31" s="32"/>
      <c r="S31" s="33">
        <v>0</v>
      </c>
      <c r="T31" s="32">
        <f t="shared" si="9"/>
        <v>50000</v>
      </c>
      <c r="U31" s="36"/>
      <c r="V31" s="24">
        <v>1010346804</v>
      </c>
      <c r="X31" s="25">
        <v>342707944</v>
      </c>
      <c r="AA31" s="2" t="s">
        <v>112</v>
      </c>
    </row>
    <row r="32" spans="1:35" ht="31.5" x14ac:dyDescent="0.25">
      <c r="A32" s="22">
        <f t="shared" si="10"/>
        <v>6</v>
      </c>
      <c r="B32" s="22" t="s">
        <v>117</v>
      </c>
      <c r="C32" s="23" t="s">
        <v>118</v>
      </c>
      <c r="D32" s="24" t="s">
        <v>119</v>
      </c>
      <c r="E32" s="24" t="s">
        <v>110</v>
      </c>
      <c r="F32" s="24" t="s">
        <v>120</v>
      </c>
      <c r="G32" s="26">
        <v>44440</v>
      </c>
      <c r="H32" s="27">
        <f>45000+5000</f>
        <v>50000</v>
      </c>
      <c r="I32" s="19">
        <v>30</v>
      </c>
      <c r="J32" s="27">
        <f t="shared" si="8"/>
        <v>50000</v>
      </c>
      <c r="K32" s="27"/>
      <c r="L32" s="19"/>
      <c r="M32" s="28">
        <f>25000-5000-5000-5000-5000-5000</f>
        <v>0</v>
      </c>
      <c r="N32" s="19"/>
      <c r="O32" s="185">
        <v>5000</v>
      </c>
      <c r="P32" s="20">
        <v>42</v>
      </c>
      <c r="Q32" s="31"/>
      <c r="R32" s="32"/>
      <c r="S32" s="33">
        <v>0</v>
      </c>
      <c r="T32" s="32">
        <f t="shared" si="9"/>
        <v>45000</v>
      </c>
      <c r="U32" s="36"/>
      <c r="V32" s="24">
        <v>1010356277</v>
      </c>
      <c r="X32" s="25">
        <v>342707913</v>
      </c>
      <c r="AA32" s="2" t="s">
        <v>112</v>
      </c>
    </row>
    <row r="33" spans="1:27" x14ac:dyDescent="0.25">
      <c r="A33" s="22">
        <f t="shared" si="10"/>
        <v>7</v>
      </c>
      <c r="B33" s="22" t="s">
        <v>121</v>
      </c>
      <c r="C33" s="23" t="s">
        <v>122</v>
      </c>
      <c r="D33" s="24" t="s">
        <v>94</v>
      </c>
      <c r="E33" s="24" t="s">
        <v>110</v>
      </c>
      <c r="F33" s="24" t="s">
        <v>123</v>
      </c>
      <c r="G33" s="26">
        <v>45306</v>
      </c>
      <c r="H33" s="27">
        <f>32500+3000</f>
        <v>35500</v>
      </c>
      <c r="I33" s="19">
        <v>30</v>
      </c>
      <c r="J33" s="27">
        <f t="shared" si="8"/>
        <v>35500</v>
      </c>
      <c r="K33" s="27"/>
      <c r="L33" s="19"/>
      <c r="M33" s="30"/>
      <c r="N33" s="19"/>
      <c r="O33" s="185"/>
      <c r="P33" s="30"/>
      <c r="Q33" s="31">
        <v>378</v>
      </c>
      <c r="R33" s="32"/>
      <c r="S33" s="33">
        <v>0</v>
      </c>
      <c r="T33" s="32">
        <f t="shared" si="9"/>
        <v>35122</v>
      </c>
      <c r="U33" s="36"/>
      <c r="V33" s="24"/>
      <c r="X33" s="25">
        <v>342707876</v>
      </c>
      <c r="AA33" s="2" t="s">
        <v>124</v>
      </c>
    </row>
    <row r="34" spans="1:27" x14ac:dyDescent="0.25">
      <c r="A34" s="22">
        <f t="shared" si="10"/>
        <v>8</v>
      </c>
      <c r="B34" s="22"/>
      <c r="C34" s="23" t="s">
        <v>125</v>
      </c>
      <c r="D34" s="24" t="s">
        <v>126</v>
      </c>
      <c r="E34" s="24" t="s">
        <v>110</v>
      </c>
      <c r="F34" s="24" t="s">
        <v>127</v>
      </c>
      <c r="G34" s="26">
        <v>46134</v>
      </c>
      <c r="H34" s="27">
        <v>50000</v>
      </c>
      <c r="I34" s="19">
        <v>30</v>
      </c>
      <c r="J34" s="27">
        <f t="shared" si="8"/>
        <v>50000</v>
      </c>
      <c r="K34" s="27"/>
      <c r="L34" s="19"/>
      <c r="M34" s="30"/>
      <c r="N34" s="19"/>
      <c r="O34" s="185"/>
      <c r="P34" s="30"/>
      <c r="Q34" s="31"/>
      <c r="R34" s="32"/>
      <c r="S34" s="33"/>
      <c r="T34" s="32">
        <f t="shared" si="9"/>
        <v>50000</v>
      </c>
      <c r="U34" s="36"/>
      <c r="V34" s="24"/>
      <c r="X34" s="25">
        <v>374285854</v>
      </c>
    </row>
    <row r="35" spans="1:27" ht="31.5" x14ac:dyDescent="0.25">
      <c r="A35" s="22">
        <f t="shared" si="10"/>
        <v>9</v>
      </c>
      <c r="B35" s="22" t="s">
        <v>128</v>
      </c>
      <c r="C35" s="74" t="s">
        <v>129</v>
      </c>
      <c r="D35" s="24" t="s">
        <v>130</v>
      </c>
      <c r="E35" s="24" t="s">
        <v>110</v>
      </c>
      <c r="F35" s="24" t="s">
        <v>131</v>
      </c>
      <c r="G35" s="26">
        <v>44908</v>
      </c>
      <c r="H35" s="27">
        <f>45000+5000</f>
        <v>50000</v>
      </c>
      <c r="I35" s="19">
        <v>30</v>
      </c>
      <c r="J35" s="27">
        <f t="shared" si="8"/>
        <v>50000</v>
      </c>
      <c r="K35" s="27"/>
      <c r="L35" s="19"/>
      <c r="M35" s="30"/>
      <c r="N35" s="19"/>
      <c r="O35" s="185"/>
      <c r="P35" s="30"/>
      <c r="Q35" s="31"/>
      <c r="R35" s="32"/>
      <c r="S35" s="33">
        <v>0</v>
      </c>
      <c r="T35" s="32">
        <f t="shared" si="9"/>
        <v>50000</v>
      </c>
      <c r="U35" s="36"/>
      <c r="V35" s="24">
        <v>1010349283</v>
      </c>
      <c r="X35" s="25">
        <v>342707869</v>
      </c>
      <c r="AA35" s="2" t="s">
        <v>112</v>
      </c>
    </row>
    <row r="36" spans="1:27" ht="16.5" thickBot="1" x14ac:dyDescent="0.3">
      <c r="B36" s="22"/>
      <c r="D36" s="39"/>
      <c r="E36" s="40"/>
      <c r="F36" s="40"/>
      <c r="G36" s="41"/>
      <c r="H36" s="42">
        <f>SUM(H27:H35)</f>
        <v>520500</v>
      </c>
      <c r="I36" s="41"/>
      <c r="J36" s="42">
        <f t="shared" ref="J36:U36" si="11">SUM(J27:J35)</f>
        <v>520500</v>
      </c>
      <c r="K36" s="42">
        <f t="shared" si="11"/>
        <v>0</v>
      </c>
      <c r="L36" s="42">
        <f t="shared" si="11"/>
        <v>0</v>
      </c>
      <c r="M36" s="42">
        <f t="shared" si="11"/>
        <v>0</v>
      </c>
      <c r="N36" s="42">
        <f t="shared" si="11"/>
        <v>0</v>
      </c>
      <c r="O36" s="186">
        <f>SUM(O27:O35)</f>
        <v>35000</v>
      </c>
      <c r="P36" s="42"/>
      <c r="Q36" s="42">
        <f t="shared" si="11"/>
        <v>20016</v>
      </c>
      <c r="R36" s="42">
        <f t="shared" si="11"/>
        <v>0</v>
      </c>
      <c r="S36" s="42">
        <f t="shared" si="11"/>
        <v>3250</v>
      </c>
      <c r="T36" s="42">
        <f>SUM(T27:T35)</f>
        <v>462234</v>
      </c>
      <c r="U36" s="42">
        <f t="shared" si="11"/>
        <v>0</v>
      </c>
      <c r="V36" s="40"/>
      <c r="X36" s="25"/>
    </row>
    <row r="37" spans="1:27" ht="16.5" thickTop="1" x14ac:dyDescent="0.25">
      <c r="A37" s="16" t="s">
        <v>132</v>
      </c>
      <c r="B37" s="22"/>
      <c r="C37" s="17"/>
      <c r="D37" s="18"/>
      <c r="E37" s="18"/>
      <c r="F37" s="17"/>
      <c r="G37" s="17"/>
      <c r="H37" s="17"/>
      <c r="I37" s="19"/>
      <c r="J37" s="17"/>
      <c r="K37" s="17"/>
      <c r="L37" s="17"/>
      <c r="M37" s="17"/>
      <c r="N37" s="17"/>
      <c r="O37" s="184"/>
      <c r="P37" s="17"/>
      <c r="Q37" s="17"/>
      <c r="R37" s="20"/>
      <c r="S37" s="21"/>
      <c r="T37" s="20"/>
      <c r="U37" s="17"/>
      <c r="V37" s="17"/>
      <c r="X37" s="25"/>
    </row>
    <row r="38" spans="1:27" x14ac:dyDescent="0.25">
      <c r="A38" s="75">
        <v>1</v>
      </c>
      <c r="B38" s="22" t="s">
        <v>133</v>
      </c>
      <c r="C38" s="59" t="s">
        <v>134</v>
      </c>
      <c r="D38" s="60" t="s">
        <v>135</v>
      </c>
      <c r="E38" s="60" t="s">
        <v>136</v>
      </c>
      <c r="F38" s="60" t="s">
        <v>137</v>
      </c>
      <c r="G38" s="61">
        <v>44410</v>
      </c>
      <c r="H38" s="54">
        <f>45000+5000</f>
        <v>50000</v>
      </c>
      <c r="I38" s="19">
        <v>30</v>
      </c>
      <c r="J38" s="54">
        <f>H38/30*I38</f>
        <v>50000</v>
      </c>
      <c r="K38" s="54"/>
      <c r="L38" s="55"/>
      <c r="M38" s="70"/>
      <c r="N38" s="55"/>
      <c r="O38" s="189">
        <v>22000</v>
      </c>
      <c r="P38" s="76">
        <v>48</v>
      </c>
      <c r="Q38" s="71">
        <v>1669</v>
      </c>
      <c r="R38" s="56"/>
      <c r="S38" s="57">
        <v>0</v>
      </c>
      <c r="T38" s="56">
        <f>J38+K38+0+L38-N38-O38-Q38-R38-S38</f>
        <v>26331</v>
      </c>
      <c r="U38" s="77"/>
      <c r="V38" s="60">
        <v>1010368903</v>
      </c>
      <c r="X38" s="25">
        <v>342707852</v>
      </c>
      <c r="AA38" s="2" t="s">
        <v>138</v>
      </c>
    </row>
    <row r="39" spans="1:27" x14ac:dyDescent="0.25">
      <c r="A39" s="75">
        <f>1+A38</f>
        <v>2</v>
      </c>
      <c r="B39" s="22" t="s">
        <v>139</v>
      </c>
      <c r="C39" s="59" t="s">
        <v>140</v>
      </c>
      <c r="D39" s="60"/>
      <c r="E39" s="60" t="s">
        <v>141</v>
      </c>
      <c r="F39" s="60" t="s">
        <v>142</v>
      </c>
      <c r="G39" s="61">
        <v>45870</v>
      </c>
      <c r="H39" s="54">
        <f>30000+5000</f>
        <v>35000</v>
      </c>
      <c r="I39" s="19">
        <v>24</v>
      </c>
      <c r="J39" s="54">
        <f>H39/30*I39</f>
        <v>28000</v>
      </c>
      <c r="K39" s="54"/>
      <c r="L39" s="55"/>
      <c r="M39" s="70"/>
      <c r="N39" s="55"/>
      <c r="O39" s="190"/>
      <c r="P39" s="79"/>
      <c r="Q39" s="71"/>
      <c r="R39" s="56"/>
      <c r="S39" s="57"/>
      <c r="T39" s="56">
        <f>J39+K39+0+L39-N39-O39-Q39-R39-S39</f>
        <v>28000</v>
      </c>
      <c r="U39" s="77"/>
      <c r="V39" s="60">
        <v>1010392467</v>
      </c>
      <c r="X39" s="25">
        <v>342707838</v>
      </c>
      <c r="AA39" s="2" t="s">
        <v>138</v>
      </c>
    </row>
    <row r="40" spans="1:27" x14ac:dyDescent="0.25">
      <c r="A40" s="75">
        <f>1+A39</f>
        <v>3</v>
      </c>
      <c r="B40" s="22"/>
      <c r="C40" s="59" t="s">
        <v>143</v>
      </c>
      <c r="D40" s="60" t="s">
        <v>144</v>
      </c>
      <c r="E40" s="60" t="s">
        <v>145</v>
      </c>
      <c r="F40" s="60" t="s">
        <v>146</v>
      </c>
      <c r="G40" s="61">
        <v>46128</v>
      </c>
      <c r="H40" s="54">
        <f>20000+5000</f>
        <v>25000</v>
      </c>
      <c r="I40" s="19">
        <v>30</v>
      </c>
      <c r="J40" s="54">
        <f>H40/30*I40</f>
        <v>25000</v>
      </c>
      <c r="K40" s="54"/>
      <c r="L40" s="55"/>
      <c r="M40" s="70"/>
      <c r="N40" s="55"/>
      <c r="O40" s="190"/>
      <c r="P40" s="79"/>
      <c r="Q40" s="71"/>
      <c r="R40" s="56"/>
      <c r="S40" s="57"/>
      <c r="T40" s="56">
        <f>J40+K40+0+L40-N40-O40-Q40-R40-S40</f>
        <v>25000</v>
      </c>
      <c r="U40" s="77"/>
      <c r="V40" s="60"/>
      <c r="X40" s="25">
        <v>374285809</v>
      </c>
      <c r="AA40" s="2" t="s">
        <v>147</v>
      </c>
    </row>
    <row r="41" spans="1:27" ht="31.5" x14ac:dyDescent="0.25">
      <c r="A41" s="75">
        <f>1+A40</f>
        <v>4</v>
      </c>
      <c r="B41" s="22" t="s">
        <v>148</v>
      </c>
      <c r="C41" s="59" t="s">
        <v>149</v>
      </c>
      <c r="D41" s="60" t="s">
        <v>150</v>
      </c>
      <c r="E41" s="60" t="s">
        <v>151</v>
      </c>
      <c r="F41" s="60" t="s">
        <v>152</v>
      </c>
      <c r="G41" s="61">
        <v>44337</v>
      </c>
      <c r="H41" s="54">
        <v>90000</v>
      </c>
      <c r="I41" s="19">
        <v>30</v>
      </c>
      <c r="J41" s="54">
        <f>H41/30*I41</f>
        <v>90000</v>
      </c>
      <c r="K41" s="54"/>
      <c r="L41" s="55"/>
      <c r="M41" s="70"/>
      <c r="N41" s="55"/>
      <c r="O41" s="190"/>
      <c r="P41" s="79"/>
      <c r="Q41" s="71">
        <v>1338</v>
      </c>
      <c r="R41" s="56"/>
      <c r="S41" s="57">
        <v>400</v>
      </c>
      <c r="T41" s="56">
        <f>J41+K41+0+L41-N41-O41-Q41-R41-S41</f>
        <v>88262</v>
      </c>
      <c r="U41" s="77"/>
      <c r="V41" s="60">
        <v>1010349908</v>
      </c>
      <c r="X41" s="25">
        <v>342707821</v>
      </c>
    </row>
    <row r="42" spans="1:27" ht="16.5" thickBot="1" x14ac:dyDescent="0.3">
      <c r="B42" s="22"/>
      <c r="D42" s="39"/>
      <c r="E42" s="40"/>
      <c r="F42" s="40"/>
      <c r="G42" s="41"/>
      <c r="H42" s="42">
        <f>SUM(H38:H41)</f>
        <v>200000</v>
      </c>
      <c r="I42" s="41"/>
      <c r="J42" s="42">
        <f t="shared" ref="J42:U42" si="12">SUM(J38:J41)</f>
        <v>193000</v>
      </c>
      <c r="K42" s="42">
        <f t="shared" si="12"/>
        <v>0</v>
      </c>
      <c r="L42" s="42">
        <f t="shared" si="12"/>
        <v>0</v>
      </c>
      <c r="M42" s="42">
        <f t="shared" si="12"/>
        <v>0</v>
      </c>
      <c r="N42" s="42">
        <f t="shared" si="12"/>
        <v>0</v>
      </c>
      <c r="O42" s="186">
        <f t="shared" si="12"/>
        <v>22000</v>
      </c>
      <c r="P42" s="42"/>
      <c r="Q42" s="42">
        <f t="shared" si="12"/>
        <v>3007</v>
      </c>
      <c r="R42" s="42">
        <f t="shared" si="12"/>
        <v>0</v>
      </c>
      <c r="S42" s="42">
        <f t="shared" si="12"/>
        <v>400</v>
      </c>
      <c r="T42" s="42">
        <f>SUM(T38:T41)</f>
        <v>167593</v>
      </c>
      <c r="U42" s="42">
        <f t="shared" si="12"/>
        <v>0</v>
      </c>
      <c r="V42" s="40"/>
      <c r="X42" s="25"/>
    </row>
    <row r="43" spans="1:27" ht="16.5" thickTop="1" x14ac:dyDescent="0.25">
      <c r="A43" s="16" t="s">
        <v>153</v>
      </c>
      <c r="B43" s="22"/>
      <c r="C43" s="17"/>
      <c r="D43" s="18"/>
      <c r="E43" s="18"/>
      <c r="F43" s="17"/>
      <c r="G43" s="17"/>
      <c r="H43" s="17"/>
      <c r="I43" s="19"/>
      <c r="J43" s="17"/>
      <c r="K43" s="17"/>
      <c r="L43" s="17"/>
      <c r="M43" s="17"/>
      <c r="N43" s="17"/>
      <c r="O43" s="184"/>
      <c r="P43" s="17"/>
      <c r="Q43" s="17"/>
      <c r="R43" s="20"/>
      <c r="S43" s="21"/>
      <c r="T43" s="20"/>
      <c r="U43" s="17"/>
      <c r="V43" s="17"/>
      <c r="X43" s="25"/>
    </row>
    <row r="44" spans="1:27" x14ac:dyDescent="0.25">
      <c r="A44" s="75">
        <v>1</v>
      </c>
      <c r="B44" s="22" t="s">
        <v>154</v>
      </c>
      <c r="C44" s="59" t="s">
        <v>155</v>
      </c>
      <c r="D44" s="60" t="s">
        <v>156</v>
      </c>
      <c r="E44" s="60" t="s">
        <v>157</v>
      </c>
      <c r="F44" s="25" t="s">
        <v>158</v>
      </c>
      <c r="G44" s="61">
        <v>45750</v>
      </c>
      <c r="H44" s="54">
        <v>225000</v>
      </c>
      <c r="I44" s="19">
        <v>30</v>
      </c>
      <c r="J44" s="54">
        <f t="shared" ref="J44:J55" si="13">H44/30*I44</f>
        <v>225000</v>
      </c>
      <c r="K44" s="54"/>
      <c r="L44" s="55"/>
      <c r="M44" s="70">
        <f>100000-50000-50000</f>
        <v>0</v>
      </c>
      <c r="N44" s="78"/>
      <c r="O44" s="190">
        <v>80000</v>
      </c>
      <c r="P44" s="80">
        <v>2</v>
      </c>
      <c r="Q44" s="81">
        <v>21135</v>
      </c>
      <c r="R44" s="56"/>
      <c r="S44" s="57">
        <v>6000</v>
      </c>
      <c r="T44" s="56">
        <f t="shared" ref="T44:T55" si="14">J44+K44+0+L44-N44-O44-Q44-R44-S44</f>
        <v>117865</v>
      </c>
      <c r="U44" s="77"/>
      <c r="V44" s="25"/>
      <c r="X44" s="25"/>
    </row>
    <row r="45" spans="1:27" x14ac:dyDescent="0.25">
      <c r="A45" s="75">
        <f t="shared" ref="A45:A55" si="15">1+A44</f>
        <v>2</v>
      </c>
      <c r="B45" s="22" t="s">
        <v>159</v>
      </c>
      <c r="C45" s="59" t="s">
        <v>160</v>
      </c>
      <c r="D45" s="60" t="s">
        <v>161</v>
      </c>
      <c r="E45" s="60" t="s">
        <v>162</v>
      </c>
      <c r="F45" s="25" t="s">
        <v>163</v>
      </c>
      <c r="G45" s="61">
        <v>43647</v>
      </c>
      <c r="H45" s="54">
        <v>110000</v>
      </c>
      <c r="I45" s="19">
        <v>30</v>
      </c>
      <c r="J45" s="54">
        <f t="shared" si="13"/>
        <v>110000</v>
      </c>
      <c r="K45" s="54"/>
      <c r="L45" s="55"/>
      <c r="M45" s="70">
        <f>35000-17500-17500</f>
        <v>0</v>
      </c>
      <c r="N45" s="55"/>
      <c r="O45" s="190"/>
      <c r="P45" s="79"/>
      <c r="Q45" s="81">
        <v>3053</v>
      </c>
      <c r="R45" s="56"/>
      <c r="S45" s="57">
        <v>1600</v>
      </c>
      <c r="T45" s="56">
        <f t="shared" si="14"/>
        <v>105347</v>
      </c>
      <c r="U45" s="77"/>
      <c r="V45" s="25">
        <v>1010349873</v>
      </c>
      <c r="X45" s="25">
        <v>342707791</v>
      </c>
    </row>
    <row r="46" spans="1:27" ht="31.5" x14ac:dyDescent="0.25">
      <c r="A46" s="75">
        <f t="shared" si="15"/>
        <v>3</v>
      </c>
      <c r="B46" s="22" t="s">
        <v>164</v>
      </c>
      <c r="C46" s="59" t="s">
        <v>165</v>
      </c>
      <c r="D46" s="60" t="s">
        <v>166</v>
      </c>
      <c r="E46" s="60" t="s">
        <v>162</v>
      </c>
      <c r="F46" s="25" t="s">
        <v>167</v>
      </c>
      <c r="G46" s="61">
        <v>45250</v>
      </c>
      <c r="H46" s="54">
        <v>125000</v>
      </c>
      <c r="I46" s="19">
        <v>30</v>
      </c>
      <c r="J46" s="54">
        <f t="shared" si="13"/>
        <v>125000.00000000001</v>
      </c>
      <c r="K46" s="54"/>
      <c r="L46" s="55"/>
      <c r="M46" s="70"/>
      <c r="N46" s="55"/>
      <c r="O46" s="190">
        <v>20000</v>
      </c>
      <c r="P46" s="82" t="s">
        <v>168</v>
      </c>
      <c r="Q46" s="81"/>
      <c r="R46" s="56"/>
      <c r="S46" s="57">
        <v>3250</v>
      </c>
      <c r="T46" s="56">
        <f t="shared" si="14"/>
        <v>101750.00000000001</v>
      </c>
      <c r="U46" s="77"/>
      <c r="V46" s="25"/>
      <c r="X46" s="25">
        <v>342707784</v>
      </c>
    </row>
    <row r="47" spans="1:27" x14ac:dyDescent="0.25">
      <c r="A47" s="75">
        <f t="shared" si="15"/>
        <v>4</v>
      </c>
      <c r="B47" s="22"/>
      <c r="C47" s="59" t="s">
        <v>169</v>
      </c>
      <c r="D47" s="60" t="s">
        <v>170</v>
      </c>
      <c r="E47" s="60" t="s">
        <v>171</v>
      </c>
      <c r="F47" s="25" t="s">
        <v>172</v>
      </c>
      <c r="G47" s="61">
        <v>46204</v>
      </c>
      <c r="H47" s="54">
        <v>60000</v>
      </c>
      <c r="I47" s="19">
        <v>30</v>
      </c>
      <c r="J47" s="54">
        <f t="shared" si="13"/>
        <v>60000</v>
      </c>
      <c r="K47" s="54"/>
      <c r="L47" s="55"/>
      <c r="M47" s="70"/>
      <c r="N47" s="55"/>
      <c r="O47" s="190"/>
      <c r="P47" s="79"/>
      <c r="Q47" s="81"/>
      <c r="R47" s="32"/>
      <c r="S47" s="57"/>
      <c r="T47" s="56">
        <f t="shared" si="14"/>
        <v>60000</v>
      </c>
      <c r="U47" s="77"/>
      <c r="V47" s="25"/>
      <c r="W47" s="83" t="s">
        <v>173</v>
      </c>
      <c r="X47" s="25"/>
    </row>
    <row r="48" spans="1:27" x14ac:dyDescent="0.25">
      <c r="A48" s="75">
        <f t="shared" si="15"/>
        <v>5</v>
      </c>
      <c r="B48" s="22" t="s">
        <v>174</v>
      </c>
      <c r="C48" s="84" t="s">
        <v>175</v>
      </c>
      <c r="D48" s="60" t="s">
        <v>176</v>
      </c>
      <c r="E48" s="60" t="s">
        <v>162</v>
      </c>
      <c r="F48" s="25" t="s">
        <v>177</v>
      </c>
      <c r="G48" s="61">
        <v>44175</v>
      </c>
      <c r="H48" s="54">
        <v>100000</v>
      </c>
      <c r="I48" s="19">
        <v>30</v>
      </c>
      <c r="J48" s="54">
        <f t="shared" si="13"/>
        <v>100000</v>
      </c>
      <c r="K48" s="54"/>
      <c r="L48" s="55"/>
      <c r="M48" s="70"/>
      <c r="N48" s="55"/>
      <c r="O48" s="190"/>
      <c r="P48" s="79"/>
      <c r="Q48" s="55"/>
      <c r="R48" s="56"/>
      <c r="S48" s="57">
        <v>500</v>
      </c>
      <c r="T48" s="56">
        <f t="shared" si="14"/>
        <v>99500</v>
      </c>
      <c r="U48" s="77"/>
      <c r="V48" s="25">
        <v>1010356354</v>
      </c>
      <c r="X48" s="25"/>
    </row>
    <row r="49" spans="1:27" x14ac:dyDescent="0.25">
      <c r="A49" s="75">
        <f t="shared" si="15"/>
        <v>6</v>
      </c>
      <c r="B49" s="22" t="s">
        <v>178</v>
      </c>
      <c r="C49" s="84" t="s">
        <v>179</v>
      </c>
      <c r="D49" s="60" t="s">
        <v>180</v>
      </c>
      <c r="E49" s="60" t="s">
        <v>181</v>
      </c>
      <c r="F49" s="25" t="s">
        <v>182</v>
      </c>
      <c r="G49" s="61">
        <v>45478</v>
      </c>
      <c r="H49" s="54">
        <v>100000</v>
      </c>
      <c r="I49" s="19">
        <v>30</v>
      </c>
      <c r="J49" s="54">
        <f t="shared" si="13"/>
        <v>100000</v>
      </c>
      <c r="K49" s="54"/>
      <c r="L49" s="55"/>
      <c r="M49" s="70"/>
      <c r="N49" s="55"/>
      <c r="O49" s="190"/>
      <c r="P49" s="79"/>
      <c r="Q49" s="81"/>
      <c r="R49" s="56"/>
      <c r="S49" s="57">
        <v>500</v>
      </c>
      <c r="T49" s="56">
        <f t="shared" si="14"/>
        <v>99500</v>
      </c>
      <c r="U49" s="77"/>
      <c r="V49" s="25">
        <v>1010348829</v>
      </c>
      <c r="X49" s="25">
        <v>342707746</v>
      </c>
    </row>
    <row r="50" spans="1:27" x14ac:dyDescent="0.25">
      <c r="A50" s="75">
        <f t="shared" si="15"/>
        <v>7</v>
      </c>
      <c r="B50" s="22" t="s">
        <v>183</v>
      </c>
      <c r="C50" s="84" t="s">
        <v>184</v>
      </c>
      <c r="D50" s="60" t="s">
        <v>185</v>
      </c>
      <c r="E50" s="60" t="s">
        <v>181</v>
      </c>
      <c r="F50" s="25" t="s">
        <v>186</v>
      </c>
      <c r="G50" s="61">
        <v>45483</v>
      </c>
      <c r="H50" s="54">
        <v>90000</v>
      </c>
      <c r="I50" s="19">
        <v>30</v>
      </c>
      <c r="J50" s="54">
        <f t="shared" si="13"/>
        <v>90000</v>
      </c>
      <c r="K50" s="54"/>
      <c r="L50" s="55"/>
      <c r="M50" s="70"/>
      <c r="N50" s="55"/>
      <c r="O50" s="190"/>
      <c r="P50" s="79"/>
      <c r="Q50" s="81">
        <v>3813</v>
      </c>
      <c r="R50" s="56"/>
      <c r="S50" s="57">
        <v>400</v>
      </c>
      <c r="T50" s="56">
        <f t="shared" si="14"/>
        <v>85787</v>
      </c>
      <c r="U50" s="77"/>
      <c r="V50" s="25">
        <v>1010362537</v>
      </c>
      <c r="X50" s="25">
        <v>342707739</v>
      </c>
    </row>
    <row r="51" spans="1:27" ht="31.5" x14ac:dyDescent="0.25">
      <c r="A51" s="75">
        <f t="shared" si="15"/>
        <v>8</v>
      </c>
      <c r="B51" s="22" t="s">
        <v>187</v>
      </c>
      <c r="C51" s="84" t="s">
        <v>188</v>
      </c>
      <c r="D51" s="60" t="s">
        <v>189</v>
      </c>
      <c r="E51" s="60" t="s">
        <v>181</v>
      </c>
      <c r="F51" s="60" t="s">
        <v>190</v>
      </c>
      <c r="G51" s="61">
        <v>44927</v>
      </c>
      <c r="H51" s="54">
        <v>65000</v>
      </c>
      <c r="I51" s="19">
        <v>30</v>
      </c>
      <c r="J51" s="54">
        <f t="shared" si="13"/>
        <v>64999.999999999993</v>
      </c>
      <c r="K51" s="54"/>
      <c r="L51" s="55"/>
      <c r="M51" s="70"/>
      <c r="N51" s="55"/>
      <c r="O51" s="190"/>
      <c r="P51" s="79"/>
      <c r="Q51" s="81">
        <v>1898</v>
      </c>
      <c r="R51" s="56"/>
      <c r="S51" s="57">
        <v>0</v>
      </c>
      <c r="T51" s="56">
        <f t="shared" si="14"/>
        <v>63101.999999999993</v>
      </c>
      <c r="U51" s="77"/>
      <c r="V51" s="25">
        <v>1010375635</v>
      </c>
      <c r="X51" s="25">
        <v>342707722</v>
      </c>
    </row>
    <row r="52" spans="1:27" x14ac:dyDescent="0.25">
      <c r="A52" s="75">
        <f t="shared" si="15"/>
        <v>9</v>
      </c>
      <c r="B52" s="22" t="s">
        <v>191</v>
      </c>
      <c r="C52" s="84" t="s">
        <v>192</v>
      </c>
      <c r="D52" s="60"/>
      <c r="E52" s="60" t="s">
        <v>193</v>
      </c>
      <c r="F52" s="60" t="s">
        <v>194</v>
      </c>
      <c r="G52" s="61">
        <v>45147</v>
      </c>
      <c r="H52" s="54">
        <v>65000</v>
      </c>
      <c r="I52" s="19">
        <v>30</v>
      </c>
      <c r="J52" s="54">
        <f t="shared" si="13"/>
        <v>64999.999999999993</v>
      </c>
      <c r="K52" s="54"/>
      <c r="L52" s="55"/>
      <c r="M52" s="70"/>
      <c r="N52" s="55"/>
      <c r="O52" s="190"/>
      <c r="P52" s="79"/>
      <c r="Q52" s="81"/>
      <c r="R52" s="32"/>
      <c r="S52" s="57">
        <v>0</v>
      </c>
      <c r="T52" s="56">
        <f t="shared" si="14"/>
        <v>64999.999999999993</v>
      </c>
      <c r="U52" s="77"/>
      <c r="V52" s="60">
        <v>1010366728</v>
      </c>
      <c r="X52" s="25">
        <v>342707715</v>
      </c>
    </row>
    <row r="53" spans="1:27" x14ac:dyDescent="0.25">
      <c r="A53" s="75">
        <f t="shared" si="15"/>
        <v>10</v>
      </c>
      <c r="B53" s="22"/>
      <c r="C53" s="84" t="s">
        <v>195</v>
      </c>
      <c r="D53" s="60" t="s">
        <v>196</v>
      </c>
      <c r="E53" s="60" t="s">
        <v>197</v>
      </c>
      <c r="F53" s="60" t="s">
        <v>198</v>
      </c>
      <c r="G53" s="61">
        <v>46125</v>
      </c>
      <c r="H53" s="54">
        <v>70000</v>
      </c>
      <c r="I53" s="19">
        <v>30</v>
      </c>
      <c r="J53" s="54">
        <f t="shared" si="13"/>
        <v>70000</v>
      </c>
      <c r="K53" s="54"/>
      <c r="L53" s="55"/>
      <c r="M53" s="70"/>
      <c r="N53" s="55"/>
      <c r="O53" s="190"/>
      <c r="P53" s="79"/>
      <c r="Q53" s="81"/>
      <c r="R53" s="32"/>
      <c r="S53" s="57"/>
      <c r="T53" s="56">
        <f t="shared" si="14"/>
        <v>70000</v>
      </c>
      <c r="U53" s="77"/>
      <c r="V53" s="60"/>
      <c r="X53" s="25"/>
    </row>
    <row r="54" spans="1:27" x14ac:dyDescent="0.25">
      <c r="A54" s="75">
        <f t="shared" si="15"/>
        <v>11</v>
      </c>
      <c r="B54" s="22" t="s">
        <v>199</v>
      </c>
      <c r="C54" s="84" t="s">
        <v>200</v>
      </c>
      <c r="D54" s="60" t="s">
        <v>201</v>
      </c>
      <c r="E54" s="60" t="s">
        <v>162</v>
      </c>
      <c r="F54" s="60" t="s">
        <v>202</v>
      </c>
      <c r="G54" s="61">
        <v>45834</v>
      </c>
      <c r="H54" s="54">
        <v>75000</v>
      </c>
      <c r="I54" s="19">
        <v>30</v>
      </c>
      <c r="J54" s="54">
        <f t="shared" si="13"/>
        <v>75000</v>
      </c>
      <c r="K54" s="54"/>
      <c r="L54" s="55"/>
      <c r="M54" s="70">
        <f>25000-5000-5000-5000-5000-5000</f>
        <v>0</v>
      </c>
      <c r="N54" s="55"/>
      <c r="O54" s="190"/>
      <c r="P54" s="79"/>
      <c r="Q54" s="81"/>
      <c r="R54" s="56"/>
      <c r="S54" s="57">
        <v>250</v>
      </c>
      <c r="T54" s="56">
        <f t="shared" si="14"/>
        <v>74750</v>
      </c>
      <c r="U54" s="77"/>
      <c r="V54" s="60"/>
      <c r="X54" s="25">
        <v>342707708</v>
      </c>
    </row>
    <row r="55" spans="1:27" ht="31.5" x14ac:dyDescent="0.25">
      <c r="A55" s="75">
        <f t="shared" si="15"/>
        <v>12</v>
      </c>
      <c r="B55" s="75" t="s">
        <v>203</v>
      </c>
      <c r="C55" s="84" t="s">
        <v>204</v>
      </c>
      <c r="D55" s="60" t="s">
        <v>205</v>
      </c>
      <c r="E55" s="60" t="s">
        <v>193</v>
      </c>
      <c r="F55" s="60" t="s">
        <v>206</v>
      </c>
      <c r="G55" s="61">
        <v>45658</v>
      </c>
      <c r="H55" s="54">
        <f>35000+15000</f>
        <v>50000</v>
      </c>
      <c r="I55" s="19">
        <v>30</v>
      </c>
      <c r="J55" s="54">
        <f t="shared" si="13"/>
        <v>50000</v>
      </c>
      <c r="K55" s="54"/>
      <c r="L55" s="55"/>
      <c r="M55" s="70"/>
      <c r="N55" s="55"/>
      <c r="O55" s="190"/>
      <c r="P55" s="79"/>
      <c r="Q55" s="81"/>
      <c r="R55" s="56"/>
      <c r="S55" s="57">
        <v>0</v>
      </c>
      <c r="T55" s="56">
        <f t="shared" si="14"/>
        <v>50000</v>
      </c>
      <c r="U55" s="85"/>
      <c r="V55" s="86">
        <v>1010354324</v>
      </c>
      <c r="X55" s="25">
        <v>342707692</v>
      </c>
      <c r="AA55" s="2" t="s">
        <v>207</v>
      </c>
    </row>
    <row r="56" spans="1:27" ht="16.5" thickBot="1" x14ac:dyDescent="0.3">
      <c r="B56" s="22"/>
      <c r="D56" s="39"/>
      <c r="E56" s="40"/>
      <c r="F56" s="40"/>
      <c r="G56" s="41"/>
      <c r="H56" s="42">
        <f>SUM(H44:H55)</f>
        <v>1135000</v>
      </c>
      <c r="I56" s="41"/>
      <c r="J56" s="42">
        <f t="shared" ref="J56:U56" si="16">SUM(J44:J55)</f>
        <v>1135000</v>
      </c>
      <c r="K56" s="42">
        <f t="shared" si="16"/>
        <v>0</v>
      </c>
      <c r="L56" s="42">
        <f t="shared" si="16"/>
        <v>0</v>
      </c>
      <c r="M56" s="42">
        <f t="shared" si="16"/>
        <v>0</v>
      </c>
      <c r="N56" s="42">
        <f t="shared" si="16"/>
        <v>0</v>
      </c>
      <c r="O56" s="186">
        <f t="shared" si="16"/>
        <v>100000</v>
      </c>
      <c r="P56" s="42"/>
      <c r="Q56" s="42">
        <f t="shared" si="16"/>
        <v>29899</v>
      </c>
      <c r="R56" s="42">
        <f t="shared" si="16"/>
        <v>0</v>
      </c>
      <c r="S56" s="42">
        <f t="shared" si="16"/>
        <v>12500</v>
      </c>
      <c r="T56" s="42">
        <f>SUM(T44:T55)</f>
        <v>992601</v>
      </c>
      <c r="U56" s="42">
        <f t="shared" si="16"/>
        <v>0</v>
      </c>
      <c r="V56" s="40"/>
      <c r="X56" s="25"/>
    </row>
    <row r="57" spans="1:27" ht="16.5" thickTop="1" x14ac:dyDescent="0.25">
      <c r="A57" s="16" t="s">
        <v>208</v>
      </c>
      <c r="B57" s="22"/>
      <c r="C57" s="17"/>
      <c r="D57" s="18"/>
      <c r="E57" s="18"/>
      <c r="F57" s="17"/>
      <c r="G57" s="17"/>
      <c r="H57" s="17"/>
      <c r="I57" s="19"/>
      <c r="J57" s="17"/>
      <c r="K57" s="17"/>
      <c r="L57" s="17"/>
      <c r="M57" s="17"/>
      <c r="N57" s="17"/>
      <c r="O57" s="184"/>
      <c r="P57" s="17"/>
      <c r="Q57" s="17"/>
      <c r="R57" s="20"/>
      <c r="S57" s="21"/>
      <c r="T57" s="20"/>
      <c r="U57" s="17"/>
      <c r="V57" s="17"/>
      <c r="X57" s="25"/>
    </row>
    <row r="58" spans="1:27" x14ac:dyDescent="0.25">
      <c r="A58" s="22">
        <v>1</v>
      </c>
      <c r="B58" s="22" t="s">
        <v>209</v>
      </c>
      <c r="C58" s="84" t="s">
        <v>210</v>
      </c>
      <c r="D58" s="60" t="s">
        <v>211</v>
      </c>
      <c r="E58" s="60" t="s">
        <v>212</v>
      </c>
      <c r="F58" s="60" t="s">
        <v>213</v>
      </c>
      <c r="G58" s="61">
        <v>45444</v>
      </c>
      <c r="H58" s="54">
        <v>175000</v>
      </c>
      <c r="I58" s="19">
        <v>30</v>
      </c>
      <c r="J58" s="54">
        <f t="shared" ref="J58:J84" si="17">H58/30*I58</f>
        <v>175000</v>
      </c>
      <c r="K58" s="54"/>
      <c r="L58" s="55"/>
      <c r="M58" s="70"/>
      <c r="N58" s="55"/>
      <c r="O58" s="190">
        <v>50000</v>
      </c>
      <c r="P58" s="80">
        <v>50</v>
      </c>
      <c r="Q58" s="81"/>
      <c r="R58" s="56"/>
      <c r="S58" s="57">
        <v>3250</v>
      </c>
      <c r="T58" s="56">
        <f t="shared" ref="T58:T84" si="18">J58+K58+0+L58-N58-O58-Q58-R58-S58</f>
        <v>121750</v>
      </c>
      <c r="U58" s="87"/>
      <c r="V58" s="60"/>
      <c r="X58" s="25"/>
    </row>
    <row r="59" spans="1:27" x14ac:dyDescent="0.25">
      <c r="A59" s="22">
        <f t="shared" ref="A59:A84" si="19">1+A58</f>
        <v>2</v>
      </c>
      <c r="B59" s="22" t="s">
        <v>214</v>
      </c>
      <c r="C59" s="84" t="s">
        <v>215</v>
      </c>
      <c r="D59" s="60" t="s">
        <v>216</v>
      </c>
      <c r="E59" s="60" t="s">
        <v>217</v>
      </c>
      <c r="F59" s="60" t="s">
        <v>218</v>
      </c>
      <c r="G59" s="61">
        <v>45974</v>
      </c>
      <c r="H59" s="54">
        <v>225000</v>
      </c>
      <c r="I59" s="19">
        <v>30</v>
      </c>
      <c r="J59" s="54">
        <f t="shared" si="17"/>
        <v>225000</v>
      </c>
      <c r="K59" s="54"/>
      <c r="L59" s="55"/>
      <c r="M59" s="70"/>
      <c r="N59" s="55"/>
      <c r="O59" s="190"/>
      <c r="P59" s="79"/>
      <c r="Q59" s="81"/>
      <c r="R59" s="56"/>
      <c r="S59" s="57">
        <v>6000</v>
      </c>
      <c r="T59" s="56">
        <f t="shared" si="18"/>
        <v>219000</v>
      </c>
      <c r="U59" s="87"/>
      <c r="V59" s="60"/>
      <c r="X59" s="25">
        <v>343407865</v>
      </c>
    </row>
    <row r="60" spans="1:27" x14ac:dyDescent="0.25">
      <c r="A60" s="22">
        <f t="shared" si="19"/>
        <v>3</v>
      </c>
      <c r="B60" s="22" t="s">
        <v>219</v>
      </c>
      <c r="C60" s="84" t="s">
        <v>220</v>
      </c>
      <c r="D60" s="60" t="s">
        <v>221</v>
      </c>
      <c r="E60" s="60" t="s">
        <v>222</v>
      </c>
      <c r="F60" s="60" t="s">
        <v>223</v>
      </c>
      <c r="G60" s="61">
        <v>45474</v>
      </c>
      <c r="H60" s="54">
        <v>110000</v>
      </c>
      <c r="I60" s="19">
        <v>30</v>
      </c>
      <c r="J60" s="54">
        <f t="shared" si="17"/>
        <v>110000</v>
      </c>
      <c r="K60" s="54"/>
      <c r="L60" s="55"/>
      <c r="M60" s="70"/>
      <c r="N60" s="55"/>
      <c r="O60" s="190">
        <v>55000</v>
      </c>
      <c r="P60" s="80">
        <v>3</v>
      </c>
      <c r="Q60" s="81">
        <v>4130</v>
      </c>
      <c r="R60" s="56"/>
      <c r="S60" s="57">
        <v>1600</v>
      </c>
      <c r="T60" s="56">
        <f t="shared" si="18"/>
        <v>49270</v>
      </c>
      <c r="U60" s="87"/>
      <c r="V60" s="60">
        <v>1010349052</v>
      </c>
      <c r="X60" s="25">
        <v>342709346</v>
      </c>
    </row>
    <row r="61" spans="1:27" x14ac:dyDescent="0.25">
      <c r="A61" s="22">
        <f t="shared" si="19"/>
        <v>4</v>
      </c>
      <c r="B61" s="22" t="s">
        <v>224</v>
      </c>
      <c r="C61" s="84" t="s">
        <v>225</v>
      </c>
      <c r="D61" s="60" t="s">
        <v>226</v>
      </c>
      <c r="E61" s="60" t="s">
        <v>227</v>
      </c>
      <c r="F61" s="60" t="s">
        <v>228</v>
      </c>
      <c r="G61" s="61">
        <v>46028</v>
      </c>
      <c r="H61" s="54">
        <v>55000</v>
      </c>
      <c r="I61" s="19">
        <v>30</v>
      </c>
      <c r="J61" s="54">
        <f t="shared" si="17"/>
        <v>55000</v>
      </c>
      <c r="K61" s="54"/>
      <c r="L61" s="55"/>
      <c r="M61" s="54"/>
      <c r="N61" s="55"/>
      <c r="O61" s="188"/>
      <c r="P61" s="54"/>
      <c r="Q61" s="55"/>
      <c r="R61" s="32"/>
      <c r="S61" s="57"/>
      <c r="T61" s="56">
        <f t="shared" si="18"/>
        <v>55000</v>
      </c>
      <c r="U61" s="87"/>
      <c r="V61" s="60"/>
      <c r="W61" s="63"/>
      <c r="X61" s="25"/>
    </row>
    <row r="62" spans="1:27" ht="31.5" x14ac:dyDescent="0.25">
      <c r="A62" s="22">
        <f t="shared" si="19"/>
        <v>5</v>
      </c>
      <c r="B62" s="22" t="s">
        <v>229</v>
      </c>
      <c r="C62" s="84" t="s">
        <v>230</v>
      </c>
      <c r="D62" s="60" t="s">
        <v>231</v>
      </c>
      <c r="E62" s="60" t="s">
        <v>227</v>
      </c>
      <c r="F62" s="60" t="s">
        <v>232</v>
      </c>
      <c r="G62" s="61">
        <v>46055</v>
      </c>
      <c r="H62" s="54">
        <v>75000</v>
      </c>
      <c r="I62" s="19">
        <v>30</v>
      </c>
      <c r="J62" s="54">
        <f t="shared" si="17"/>
        <v>75000</v>
      </c>
      <c r="K62" s="54"/>
      <c r="L62" s="55"/>
      <c r="M62" s="54"/>
      <c r="N62" s="55"/>
      <c r="O62" s="188"/>
      <c r="P62" s="54"/>
      <c r="Q62" s="55"/>
      <c r="R62" s="32"/>
      <c r="S62" s="57">
        <v>250</v>
      </c>
      <c r="T62" s="56">
        <f t="shared" si="18"/>
        <v>74750</v>
      </c>
      <c r="U62" s="87"/>
      <c r="X62" s="25"/>
    </row>
    <row r="63" spans="1:27" x14ac:dyDescent="0.25">
      <c r="A63" s="22">
        <f t="shared" si="19"/>
        <v>6</v>
      </c>
      <c r="B63" s="22" t="s">
        <v>233</v>
      </c>
      <c r="C63" s="84" t="s">
        <v>234</v>
      </c>
      <c r="D63" s="60" t="s">
        <v>235</v>
      </c>
      <c r="E63" s="60" t="s">
        <v>236</v>
      </c>
      <c r="F63" s="60" t="s">
        <v>237</v>
      </c>
      <c r="G63" s="61">
        <v>46027</v>
      </c>
      <c r="H63" s="54">
        <v>55000</v>
      </c>
      <c r="I63" s="19">
        <v>30</v>
      </c>
      <c r="J63" s="54">
        <f t="shared" si="17"/>
        <v>55000</v>
      </c>
      <c r="K63" s="54"/>
      <c r="L63" s="55"/>
      <c r="M63" s="54"/>
      <c r="N63" s="55"/>
      <c r="O63" s="188"/>
      <c r="P63" s="54"/>
      <c r="Q63" s="55"/>
      <c r="R63" s="32"/>
      <c r="S63" s="57"/>
      <c r="T63" s="56">
        <f t="shared" si="18"/>
        <v>55000</v>
      </c>
      <c r="U63" s="87"/>
      <c r="V63" s="60"/>
      <c r="W63" s="63"/>
      <c r="X63" s="25">
        <v>349943796</v>
      </c>
    </row>
    <row r="64" spans="1:27" x14ac:dyDescent="0.25">
      <c r="A64" s="22">
        <f t="shared" si="19"/>
        <v>7</v>
      </c>
      <c r="B64" s="22" t="s">
        <v>238</v>
      </c>
      <c r="C64" s="59" t="s">
        <v>239</v>
      </c>
      <c r="D64" s="60" t="s">
        <v>240</v>
      </c>
      <c r="E64" s="60" t="s">
        <v>241</v>
      </c>
      <c r="F64" s="60" t="s">
        <v>242</v>
      </c>
      <c r="G64" s="61">
        <v>44533</v>
      </c>
      <c r="H64" s="54">
        <v>62500</v>
      </c>
      <c r="I64" s="19">
        <v>30</v>
      </c>
      <c r="J64" s="54">
        <f t="shared" si="17"/>
        <v>62500.000000000007</v>
      </c>
      <c r="K64" s="54"/>
      <c r="L64" s="55"/>
      <c r="M64" s="70">
        <f>50000-10000-10000-10000-10000-10000</f>
        <v>0</v>
      </c>
      <c r="N64" s="55"/>
      <c r="O64" s="190"/>
      <c r="P64" s="79"/>
      <c r="Q64" s="71"/>
      <c r="R64" s="32"/>
      <c r="S64" s="57">
        <v>0</v>
      </c>
      <c r="T64" s="56">
        <f t="shared" si="18"/>
        <v>62500.000000000007</v>
      </c>
      <c r="U64" s="87"/>
      <c r="V64" s="60">
        <v>1010349256</v>
      </c>
      <c r="X64" s="25">
        <v>342709018</v>
      </c>
    </row>
    <row r="65" spans="1:35" x14ac:dyDescent="0.25">
      <c r="A65" s="22">
        <f t="shared" si="19"/>
        <v>8</v>
      </c>
      <c r="B65" s="22" t="s">
        <v>243</v>
      </c>
      <c r="C65" s="84" t="s">
        <v>244</v>
      </c>
      <c r="D65" s="60" t="s">
        <v>245</v>
      </c>
      <c r="E65" s="60" t="s">
        <v>246</v>
      </c>
      <c r="F65" s="60" t="s">
        <v>247</v>
      </c>
      <c r="G65" s="61">
        <v>45087</v>
      </c>
      <c r="H65" s="54">
        <v>75000</v>
      </c>
      <c r="I65" s="19">
        <v>30</v>
      </c>
      <c r="J65" s="54">
        <f t="shared" si="17"/>
        <v>75000</v>
      </c>
      <c r="K65" s="54"/>
      <c r="L65" s="55"/>
      <c r="M65" s="70"/>
      <c r="N65" s="55"/>
      <c r="O65" s="190"/>
      <c r="P65" s="79"/>
      <c r="Q65" s="81"/>
      <c r="R65" s="32"/>
      <c r="S65" s="57">
        <v>250</v>
      </c>
      <c r="T65" s="56">
        <f t="shared" si="18"/>
        <v>74750</v>
      </c>
      <c r="U65" s="87"/>
      <c r="V65" s="60">
        <v>1010384385</v>
      </c>
      <c r="X65" s="25">
        <v>342709339</v>
      </c>
    </row>
    <row r="66" spans="1:35" x14ac:dyDescent="0.25">
      <c r="A66" s="22">
        <f t="shared" si="19"/>
        <v>9</v>
      </c>
      <c r="B66" s="22" t="s">
        <v>248</v>
      </c>
      <c r="C66" s="84" t="s">
        <v>249</v>
      </c>
      <c r="D66" s="60" t="s">
        <v>250</v>
      </c>
      <c r="E66" s="60" t="s">
        <v>251</v>
      </c>
      <c r="F66" s="60" t="s">
        <v>252</v>
      </c>
      <c r="G66" s="61">
        <v>45185</v>
      </c>
      <c r="H66" s="54">
        <v>70000</v>
      </c>
      <c r="I66" s="19">
        <v>30</v>
      </c>
      <c r="J66" s="54">
        <f t="shared" si="17"/>
        <v>70000</v>
      </c>
      <c r="K66" s="54"/>
      <c r="L66" s="55"/>
      <c r="M66" s="70"/>
      <c r="N66" s="55"/>
      <c r="O66" s="190"/>
      <c r="P66" s="79"/>
      <c r="Q66" s="81"/>
      <c r="R66" s="32"/>
      <c r="S66" s="57">
        <v>200</v>
      </c>
      <c r="T66" s="56">
        <f t="shared" si="18"/>
        <v>69800</v>
      </c>
      <c r="U66" s="87"/>
      <c r="V66" s="60">
        <v>1010356437</v>
      </c>
      <c r="X66" s="25">
        <v>342709322</v>
      </c>
    </row>
    <row r="67" spans="1:35" x14ac:dyDescent="0.25">
      <c r="A67" s="22">
        <f t="shared" si="19"/>
        <v>10</v>
      </c>
      <c r="B67" s="22" t="s">
        <v>253</v>
      </c>
      <c r="C67" s="84" t="s">
        <v>254</v>
      </c>
      <c r="D67" s="60" t="s">
        <v>255</v>
      </c>
      <c r="E67" s="60" t="s">
        <v>251</v>
      </c>
      <c r="F67" s="60" t="s">
        <v>256</v>
      </c>
      <c r="G67" s="61">
        <v>45170</v>
      </c>
      <c r="H67" s="54">
        <v>65000</v>
      </c>
      <c r="I67" s="19">
        <v>30</v>
      </c>
      <c r="J67" s="54">
        <f t="shared" si="17"/>
        <v>64999.999999999993</v>
      </c>
      <c r="K67" s="54"/>
      <c r="L67" s="55"/>
      <c r="M67" s="70"/>
      <c r="N67" s="55"/>
      <c r="O67" s="190"/>
      <c r="P67" s="79"/>
      <c r="Q67" s="81"/>
      <c r="R67" s="32"/>
      <c r="S67" s="57">
        <v>0</v>
      </c>
      <c r="T67" s="56">
        <f t="shared" si="18"/>
        <v>64999.999999999993</v>
      </c>
      <c r="U67" s="87"/>
      <c r="V67" s="60">
        <v>1010349345</v>
      </c>
      <c r="X67" s="25">
        <v>342709308</v>
      </c>
    </row>
    <row r="68" spans="1:35" x14ac:dyDescent="0.25">
      <c r="A68" s="22">
        <f t="shared" si="19"/>
        <v>11</v>
      </c>
      <c r="B68" s="22" t="s">
        <v>257</v>
      </c>
      <c r="C68" s="84" t="s">
        <v>258</v>
      </c>
      <c r="D68" s="60" t="s">
        <v>259</v>
      </c>
      <c r="E68" s="60" t="s">
        <v>260</v>
      </c>
      <c r="F68" s="60" t="s">
        <v>261</v>
      </c>
      <c r="G68" s="61">
        <v>45170</v>
      </c>
      <c r="H68" s="54">
        <v>75000</v>
      </c>
      <c r="I68" s="19">
        <v>30</v>
      </c>
      <c r="J68" s="54">
        <f t="shared" si="17"/>
        <v>75000</v>
      </c>
      <c r="K68" s="54"/>
      <c r="L68" s="55"/>
      <c r="M68" s="70"/>
      <c r="N68" s="55"/>
      <c r="O68" s="190"/>
      <c r="P68" s="79"/>
      <c r="Q68" s="81"/>
      <c r="R68" s="32"/>
      <c r="S68" s="57">
        <v>250</v>
      </c>
      <c r="T68" s="56">
        <f t="shared" si="18"/>
        <v>74750</v>
      </c>
      <c r="U68" s="87"/>
      <c r="V68" s="60">
        <v>1010368889</v>
      </c>
      <c r="X68" s="25">
        <v>342709292</v>
      </c>
    </row>
    <row r="69" spans="1:35" x14ac:dyDescent="0.25">
      <c r="A69" s="22">
        <f t="shared" si="19"/>
        <v>12</v>
      </c>
      <c r="B69" s="22" t="s">
        <v>262</v>
      </c>
      <c r="C69" s="84" t="s">
        <v>263</v>
      </c>
      <c r="D69" s="60" t="s">
        <v>264</v>
      </c>
      <c r="E69" s="60" t="s">
        <v>265</v>
      </c>
      <c r="F69" s="60" t="s">
        <v>266</v>
      </c>
      <c r="G69" s="61">
        <v>45444</v>
      </c>
      <c r="H69" s="54">
        <v>50000</v>
      </c>
      <c r="I69" s="19">
        <v>30</v>
      </c>
      <c r="J69" s="54">
        <f t="shared" si="17"/>
        <v>50000</v>
      </c>
      <c r="K69" s="54"/>
      <c r="L69" s="55"/>
      <c r="M69" s="70"/>
      <c r="N69" s="55"/>
      <c r="O69" s="190">
        <v>25000</v>
      </c>
      <c r="P69" s="88">
        <v>57</v>
      </c>
      <c r="Q69" s="81"/>
      <c r="R69" s="32"/>
      <c r="S69" s="57">
        <v>0</v>
      </c>
      <c r="T69" s="56">
        <f t="shared" si="18"/>
        <v>25000</v>
      </c>
      <c r="U69" s="87"/>
      <c r="V69" s="60"/>
      <c r="X69" s="25">
        <v>378078515</v>
      </c>
    </row>
    <row r="70" spans="1:35" x14ac:dyDescent="0.25">
      <c r="A70" s="22">
        <f t="shared" si="19"/>
        <v>13</v>
      </c>
      <c r="B70" s="22" t="s">
        <v>267</v>
      </c>
      <c r="C70" s="84" t="s">
        <v>268</v>
      </c>
      <c r="D70" s="60" t="s">
        <v>269</v>
      </c>
      <c r="E70" s="60" t="s">
        <v>270</v>
      </c>
      <c r="F70" s="25" t="s">
        <v>271</v>
      </c>
      <c r="G70" s="61">
        <v>45383</v>
      </c>
      <c r="H70" s="54">
        <v>70000</v>
      </c>
      <c r="I70" s="19">
        <v>30</v>
      </c>
      <c r="J70" s="54">
        <f t="shared" si="17"/>
        <v>70000</v>
      </c>
      <c r="K70" s="54"/>
      <c r="L70" s="55"/>
      <c r="M70" s="70"/>
      <c r="N70" s="55"/>
      <c r="O70" s="190"/>
      <c r="P70" s="79"/>
      <c r="Q70" s="81"/>
      <c r="R70" s="32"/>
      <c r="S70" s="57">
        <v>200</v>
      </c>
      <c r="T70" s="56">
        <f t="shared" si="18"/>
        <v>69800</v>
      </c>
      <c r="U70" s="87"/>
      <c r="V70" s="25">
        <v>1010349694</v>
      </c>
      <c r="X70" s="25">
        <v>349955065</v>
      </c>
    </row>
    <row r="71" spans="1:35" ht="31.5" x14ac:dyDescent="0.25">
      <c r="A71" s="22">
        <f t="shared" si="19"/>
        <v>14</v>
      </c>
      <c r="B71" s="22" t="s">
        <v>272</v>
      </c>
      <c r="C71" s="84" t="s">
        <v>273</v>
      </c>
      <c r="D71" s="60" t="s">
        <v>274</v>
      </c>
      <c r="E71" s="60" t="s">
        <v>275</v>
      </c>
      <c r="F71" s="25" t="s">
        <v>276</v>
      </c>
      <c r="G71" s="61">
        <v>45383</v>
      </c>
      <c r="H71" s="54">
        <v>75000</v>
      </c>
      <c r="I71" s="19">
        <v>30</v>
      </c>
      <c r="J71" s="54">
        <f t="shared" si="17"/>
        <v>75000</v>
      </c>
      <c r="K71" s="54"/>
      <c r="L71" s="55"/>
      <c r="M71" s="70"/>
      <c r="N71" s="55"/>
      <c r="O71" s="190"/>
      <c r="P71" s="79"/>
      <c r="Q71" s="81"/>
      <c r="R71" s="32"/>
      <c r="S71" s="57">
        <v>250</v>
      </c>
      <c r="T71" s="56">
        <f t="shared" si="18"/>
        <v>74750</v>
      </c>
      <c r="U71" s="87"/>
      <c r="V71" s="25">
        <v>1010354258</v>
      </c>
      <c r="X71" s="25">
        <v>342709278</v>
      </c>
    </row>
    <row r="72" spans="1:35" s="68" customFormat="1" x14ac:dyDescent="0.25">
      <c r="A72" s="22">
        <f t="shared" si="19"/>
        <v>15</v>
      </c>
      <c r="B72" s="22" t="s">
        <v>277</v>
      </c>
      <c r="C72" s="69" t="s">
        <v>278</v>
      </c>
      <c r="D72" s="66" t="s">
        <v>279</v>
      </c>
      <c r="E72" s="66" t="s">
        <v>280</v>
      </c>
      <c r="F72" s="66" t="s">
        <v>281</v>
      </c>
      <c r="G72" s="61">
        <v>45478</v>
      </c>
      <c r="H72" s="54">
        <v>50000</v>
      </c>
      <c r="I72" s="19">
        <v>30</v>
      </c>
      <c r="J72" s="54">
        <f t="shared" si="17"/>
        <v>50000</v>
      </c>
      <c r="K72" s="54"/>
      <c r="L72" s="55"/>
      <c r="M72" s="70"/>
      <c r="N72" s="55"/>
      <c r="O72" s="190"/>
      <c r="P72" s="79"/>
      <c r="Q72" s="71"/>
      <c r="R72" s="32"/>
      <c r="S72" s="72">
        <v>0</v>
      </c>
      <c r="T72" s="56">
        <f t="shared" si="18"/>
        <v>50000</v>
      </c>
      <c r="U72" s="87"/>
      <c r="V72" s="66">
        <v>1010349368</v>
      </c>
      <c r="X72" s="25">
        <v>342709742</v>
      </c>
      <c r="AB72" s="2"/>
      <c r="AC72" s="2"/>
      <c r="AD72" s="2"/>
      <c r="AE72" s="2"/>
      <c r="AF72" s="2"/>
      <c r="AH72" s="2"/>
      <c r="AI72" s="2"/>
    </row>
    <row r="73" spans="1:35" x14ac:dyDescent="0.25">
      <c r="A73" s="22">
        <f t="shared" si="19"/>
        <v>16</v>
      </c>
      <c r="B73" s="22" t="s">
        <v>282</v>
      </c>
      <c r="C73" s="84" t="s">
        <v>283</v>
      </c>
      <c r="D73" s="60" t="s">
        <v>284</v>
      </c>
      <c r="E73" s="60" t="s">
        <v>285</v>
      </c>
      <c r="F73" s="25" t="s">
        <v>286</v>
      </c>
      <c r="G73" s="61">
        <v>46023</v>
      </c>
      <c r="H73" s="54">
        <f>20000+15000</f>
        <v>35000</v>
      </c>
      <c r="I73" s="19">
        <v>30</v>
      </c>
      <c r="J73" s="54">
        <f t="shared" si="17"/>
        <v>35000</v>
      </c>
      <c r="K73" s="54"/>
      <c r="L73" s="55"/>
      <c r="M73" s="70"/>
      <c r="N73" s="55"/>
      <c r="O73" s="190"/>
      <c r="P73" s="79"/>
      <c r="Q73" s="81"/>
      <c r="R73" s="56"/>
      <c r="S73" s="57"/>
      <c r="T73" s="56">
        <f t="shared" si="18"/>
        <v>35000</v>
      </c>
      <c r="U73" s="87"/>
      <c r="V73" s="25"/>
      <c r="X73" s="25"/>
      <c r="AA73" s="2" t="s">
        <v>287</v>
      </c>
    </row>
    <row r="74" spans="1:35" x14ac:dyDescent="0.25">
      <c r="A74" s="22">
        <f t="shared" si="19"/>
        <v>17</v>
      </c>
      <c r="B74" s="22" t="s">
        <v>288</v>
      </c>
      <c r="C74" s="84" t="s">
        <v>289</v>
      </c>
      <c r="D74" s="60" t="s">
        <v>290</v>
      </c>
      <c r="E74" s="60" t="s">
        <v>291</v>
      </c>
      <c r="F74" s="60" t="s">
        <v>292</v>
      </c>
      <c r="G74" s="61">
        <v>45091</v>
      </c>
      <c r="H74" s="54">
        <v>50000</v>
      </c>
      <c r="I74" s="19">
        <v>30</v>
      </c>
      <c r="J74" s="54">
        <f t="shared" si="17"/>
        <v>50000</v>
      </c>
      <c r="K74" s="54"/>
      <c r="L74" s="55"/>
      <c r="M74" s="70">
        <f>25000-5000-5000-5000-5000-5000</f>
        <v>0</v>
      </c>
      <c r="N74" s="55"/>
      <c r="O74" s="190">
        <v>18000</v>
      </c>
      <c r="P74" s="80">
        <v>54</v>
      </c>
      <c r="Q74" s="81"/>
      <c r="R74" s="32"/>
      <c r="S74" s="57">
        <v>0</v>
      </c>
      <c r="T74" s="56">
        <f t="shared" si="18"/>
        <v>32000</v>
      </c>
      <c r="U74" s="87"/>
      <c r="V74" s="60">
        <v>1010384310</v>
      </c>
      <c r="X74" s="25">
        <v>342709261</v>
      </c>
    </row>
    <row r="75" spans="1:35" x14ac:dyDescent="0.25">
      <c r="A75" s="22">
        <f t="shared" si="19"/>
        <v>18</v>
      </c>
      <c r="B75" s="22" t="s">
        <v>293</v>
      </c>
      <c r="C75" s="59" t="s">
        <v>294</v>
      </c>
      <c r="D75" s="60" t="s">
        <v>295</v>
      </c>
      <c r="E75" s="60" t="s">
        <v>285</v>
      </c>
      <c r="F75" s="60" t="s">
        <v>296</v>
      </c>
      <c r="G75" s="61">
        <v>44284</v>
      </c>
      <c r="H75" s="54">
        <v>72500</v>
      </c>
      <c r="I75" s="19">
        <v>30</v>
      </c>
      <c r="J75" s="54">
        <f t="shared" si="17"/>
        <v>72500</v>
      </c>
      <c r="K75" s="54"/>
      <c r="L75" s="55"/>
      <c r="M75" s="70"/>
      <c r="N75" s="55"/>
      <c r="O75" s="185"/>
      <c r="P75" s="30"/>
      <c r="Q75" s="71"/>
      <c r="R75" s="32"/>
      <c r="S75" s="57">
        <v>225</v>
      </c>
      <c r="T75" s="56">
        <f t="shared" si="18"/>
        <v>72275</v>
      </c>
      <c r="U75" s="87"/>
      <c r="V75" s="60">
        <v>1010349175</v>
      </c>
      <c r="X75" s="25">
        <v>342709148</v>
      </c>
    </row>
    <row r="76" spans="1:35" x14ac:dyDescent="0.25">
      <c r="A76" s="22">
        <f t="shared" si="19"/>
        <v>19</v>
      </c>
      <c r="B76" s="22" t="s">
        <v>297</v>
      </c>
      <c r="C76" s="59" t="s">
        <v>298</v>
      </c>
      <c r="D76" s="60" t="s">
        <v>299</v>
      </c>
      <c r="E76" s="60" t="s">
        <v>300</v>
      </c>
      <c r="F76" s="60" t="s">
        <v>301</v>
      </c>
      <c r="G76" s="61">
        <v>44593</v>
      </c>
      <c r="H76" s="54">
        <v>60000</v>
      </c>
      <c r="I76" s="19">
        <v>30</v>
      </c>
      <c r="J76" s="54">
        <f t="shared" si="17"/>
        <v>60000</v>
      </c>
      <c r="K76" s="54"/>
      <c r="L76" s="55"/>
      <c r="M76" s="70"/>
      <c r="N76" s="55"/>
      <c r="O76" s="190"/>
      <c r="P76" s="79"/>
      <c r="Q76" s="76">
        <v>1770</v>
      </c>
      <c r="R76" s="32"/>
      <c r="S76" s="57">
        <v>0</v>
      </c>
      <c r="T76" s="56">
        <f t="shared" si="18"/>
        <v>58230</v>
      </c>
      <c r="U76" s="87"/>
      <c r="V76" s="60">
        <v>1010349235</v>
      </c>
      <c r="X76" s="25">
        <v>342709063</v>
      </c>
    </row>
    <row r="77" spans="1:35" ht="31.5" x14ac:dyDescent="0.25">
      <c r="A77" s="22">
        <f t="shared" si="19"/>
        <v>20</v>
      </c>
      <c r="B77" s="22" t="s">
        <v>302</v>
      </c>
      <c r="C77" s="59" t="s">
        <v>303</v>
      </c>
      <c r="D77" s="60" t="s">
        <v>304</v>
      </c>
      <c r="E77" s="60" t="s">
        <v>285</v>
      </c>
      <c r="F77" s="60" t="s">
        <v>305</v>
      </c>
      <c r="G77" s="61">
        <v>45952</v>
      </c>
      <c r="H77" s="54">
        <v>65000</v>
      </c>
      <c r="I77" s="19">
        <v>30</v>
      </c>
      <c r="J77" s="54">
        <f t="shared" si="17"/>
        <v>64999.999999999993</v>
      </c>
      <c r="K77" s="54"/>
      <c r="L77" s="55"/>
      <c r="M77" s="70"/>
      <c r="N77" s="55"/>
      <c r="O77" s="190"/>
      <c r="P77" s="79"/>
      <c r="Q77" s="71"/>
      <c r="R77" s="32"/>
      <c r="S77" s="57">
        <v>0</v>
      </c>
      <c r="T77" s="56">
        <f t="shared" si="18"/>
        <v>64999.999999999993</v>
      </c>
      <c r="U77" s="87"/>
      <c r="V77" s="60"/>
      <c r="X77" s="25">
        <v>342709049</v>
      </c>
    </row>
    <row r="78" spans="1:35" x14ac:dyDescent="0.25">
      <c r="A78" s="22">
        <f t="shared" si="19"/>
        <v>21</v>
      </c>
      <c r="B78" s="22" t="s">
        <v>306</v>
      </c>
      <c r="C78" s="59" t="s">
        <v>307</v>
      </c>
      <c r="D78" s="60" t="s">
        <v>308</v>
      </c>
      <c r="E78" s="60" t="s">
        <v>285</v>
      </c>
      <c r="F78" s="60" t="s">
        <v>309</v>
      </c>
      <c r="G78" s="61">
        <v>45945</v>
      </c>
      <c r="H78" s="54">
        <v>60000</v>
      </c>
      <c r="I78" s="19">
        <v>30</v>
      </c>
      <c r="J78" s="54">
        <f t="shared" si="17"/>
        <v>60000</v>
      </c>
      <c r="K78" s="54"/>
      <c r="L78" s="55"/>
      <c r="M78" s="70"/>
      <c r="N78" s="55"/>
      <c r="O78" s="190"/>
      <c r="P78" s="79"/>
      <c r="Q78" s="71"/>
      <c r="R78" s="32"/>
      <c r="S78" s="57">
        <v>0</v>
      </c>
      <c r="T78" s="56">
        <f t="shared" si="18"/>
        <v>60000</v>
      </c>
      <c r="U78" s="87"/>
      <c r="V78" s="60"/>
      <c r="X78" s="25">
        <v>260777508</v>
      </c>
    </row>
    <row r="79" spans="1:35" x14ac:dyDescent="0.25">
      <c r="A79" s="22">
        <f t="shared" si="19"/>
        <v>22</v>
      </c>
      <c r="B79" s="22" t="s">
        <v>310</v>
      </c>
      <c r="C79" s="59" t="s">
        <v>311</v>
      </c>
      <c r="D79" s="60" t="s">
        <v>312</v>
      </c>
      <c r="E79" s="89" t="s">
        <v>285</v>
      </c>
      <c r="F79" s="60" t="s">
        <v>313</v>
      </c>
      <c r="G79" s="61">
        <v>46063</v>
      </c>
      <c r="H79" s="54">
        <v>55000</v>
      </c>
      <c r="I79" s="19">
        <v>30</v>
      </c>
      <c r="J79" s="54">
        <f t="shared" si="17"/>
        <v>55000</v>
      </c>
      <c r="K79" s="54"/>
      <c r="L79" s="55"/>
      <c r="M79" s="70"/>
      <c r="N79" s="55"/>
      <c r="O79" s="190"/>
      <c r="P79" s="79"/>
      <c r="Q79" s="71"/>
      <c r="R79" s="32"/>
      <c r="S79" s="57"/>
      <c r="T79" s="56">
        <f t="shared" si="18"/>
        <v>55000</v>
      </c>
      <c r="U79" s="87"/>
      <c r="V79" s="60"/>
      <c r="X79" s="25"/>
    </row>
    <row r="80" spans="1:35" ht="31.5" x14ac:dyDescent="0.25">
      <c r="A80" s="22">
        <f t="shared" si="19"/>
        <v>23</v>
      </c>
      <c r="B80" s="22" t="s">
        <v>314</v>
      </c>
      <c r="C80" s="59" t="s">
        <v>315</v>
      </c>
      <c r="D80" s="60" t="s">
        <v>316</v>
      </c>
      <c r="E80" s="60" t="s">
        <v>285</v>
      </c>
      <c r="F80" s="60" t="s">
        <v>317</v>
      </c>
      <c r="G80" s="61">
        <v>45000</v>
      </c>
      <c r="H80" s="54">
        <v>45000</v>
      </c>
      <c r="I80" s="19">
        <v>30</v>
      </c>
      <c r="J80" s="54">
        <f t="shared" si="17"/>
        <v>45000</v>
      </c>
      <c r="K80" s="54"/>
      <c r="L80" s="55"/>
      <c r="M80" s="70"/>
      <c r="N80" s="55"/>
      <c r="O80" s="190"/>
      <c r="P80" s="79"/>
      <c r="Q80" s="71"/>
      <c r="R80" s="32"/>
      <c r="S80" s="57">
        <v>0</v>
      </c>
      <c r="T80" s="56">
        <f t="shared" si="18"/>
        <v>45000</v>
      </c>
      <c r="U80" s="90" t="s">
        <v>318</v>
      </c>
      <c r="V80" s="25">
        <v>1010356177</v>
      </c>
      <c r="X80" s="25"/>
    </row>
    <row r="81" spans="1:35" x14ac:dyDescent="0.25">
      <c r="A81" s="22">
        <f t="shared" si="19"/>
        <v>24</v>
      </c>
      <c r="B81" s="22"/>
      <c r="C81" s="59" t="s">
        <v>319</v>
      </c>
      <c r="D81" s="60" t="s">
        <v>320</v>
      </c>
      <c r="E81" s="60" t="s">
        <v>321</v>
      </c>
      <c r="F81" s="60" t="s">
        <v>322</v>
      </c>
      <c r="G81" s="61">
        <v>46246</v>
      </c>
      <c r="H81" s="54">
        <v>45000</v>
      </c>
      <c r="I81" s="19">
        <v>30</v>
      </c>
      <c r="J81" s="54">
        <f>H81/30*I81</f>
        <v>45000</v>
      </c>
      <c r="K81" s="54"/>
      <c r="L81" s="55"/>
      <c r="M81" s="70"/>
      <c r="N81" s="55"/>
      <c r="O81" s="191">
        <v>15000</v>
      </c>
      <c r="P81" s="91">
        <v>49</v>
      </c>
      <c r="Q81" s="71"/>
      <c r="R81" s="32"/>
      <c r="S81" s="92"/>
      <c r="T81" s="56">
        <f t="shared" si="18"/>
        <v>30000</v>
      </c>
      <c r="U81" s="87"/>
      <c r="V81" s="25"/>
      <c r="X81" s="25"/>
    </row>
    <row r="82" spans="1:35" s="68" customFormat="1" x14ac:dyDescent="0.25">
      <c r="A82" s="22">
        <f t="shared" si="19"/>
        <v>25</v>
      </c>
      <c r="B82" s="22" t="s">
        <v>323</v>
      </c>
      <c r="C82" s="93" t="s">
        <v>324</v>
      </c>
      <c r="D82" s="66" t="s">
        <v>325</v>
      </c>
      <c r="E82" s="89" t="s">
        <v>285</v>
      </c>
      <c r="F82" s="89" t="s">
        <v>326</v>
      </c>
      <c r="G82" s="61">
        <v>46024</v>
      </c>
      <c r="H82" s="54">
        <v>60000</v>
      </c>
      <c r="I82" s="19">
        <v>30</v>
      </c>
      <c r="J82" s="54">
        <f t="shared" si="17"/>
        <v>60000</v>
      </c>
      <c r="K82" s="54"/>
      <c r="L82" s="55"/>
      <c r="M82" s="54"/>
      <c r="N82" s="55"/>
      <c r="O82" s="191"/>
      <c r="P82" s="94"/>
      <c r="Q82" s="95">
        <v>2869</v>
      </c>
      <c r="R82" s="32"/>
      <c r="S82" s="96">
        <v>0</v>
      </c>
      <c r="T82" s="56">
        <f t="shared" si="18"/>
        <v>57131</v>
      </c>
      <c r="U82" s="87"/>
      <c r="V82" s="89"/>
      <c r="W82" s="97"/>
      <c r="X82" s="25">
        <v>349946672</v>
      </c>
      <c r="AB82" s="2"/>
      <c r="AC82" s="2"/>
      <c r="AD82" s="2"/>
      <c r="AE82" s="2"/>
      <c r="AF82" s="2"/>
      <c r="AH82" s="2"/>
      <c r="AI82" s="2"/>
    </row>
    <row r="83" spans="1:35" x14ac:dyDescent="0.25">
      <c r="A83" s="22">
        <f t="shared" si="19"/>
        <v>26</v>
      </c>
      <c r="B83" s="22" t="s">
        <v>327</v>
      </c>
      <c r="C83" s="84" t="s">
        <v>328</v>
      </c>
      <c r="D83" s="60" t="s">
        <v>329</v>
      </c>
      <c r="E83" s="60" t="s">
        <v>285</v>
      </c>
      <c r="F83" s="60" t="s">
        <v>330</v>
      </c>
      <c r="G83" s="61">
        <v>45834</v>
      </c>
      <c r="H83" s="54">
        <v>40000</v>
      </c>
      <c r="I83" s="19">
        <v>30</v>
      </c>
      <c r="J83" s="54">
        <f t="shared" si="17"/>
        <v>40000</v>
      </c>
      <c r="K83" s="54"/>
      <c r="L83" s="55"/>
      <c r="M83" s="70"/>
      <c r="N83" s="55"/>
      <c r="O83" s="190">
        <v>5000</v>
      </c>
      <c r="P83" s="80">
        <v>43</v>
      </c>
      <c r="Q83" s="81"/>
      <c r="R83" s="32"/>
      <c r="S83" s="57">
        <v>0</v>
      </c>
      <c r="T83" s="56">
        <f t="shared" si="18"/>
        <v>35000</v>
      </c>
      <c r="U83" s="87"/>
      <c r="V83" s="60"/>
      <c r="X83" s="25">
        <v>342709223</v>
      </c>
    </row>
    <row r="84" spans="1:35" x14ac:dyDescent="0.25">
      <c r="A84" s="22">
        <f t="shared" si="19"/>
        <v>27</v>
      </c>
      <c r="B84" s="22" t="s">
        <v>331</v>
      </c>
      <c r="C84" s="84" t="s">
        <v>332</v>
      </c>
      <c r="D84" s="60" t="s">
        <v>333</v>
      </c>
      <c r="E84" s="60" t="s">
        <v>334</v>
      </c>
      <c r="F84" s="60" t="s">
        <v>335</v>
      </c>
      <c r="G84" s="61">
        <v>45176</v>
      </c>
      <c r="H84" s="54">
        <v>75000</v>
      </c>
      <c r="I84" s="19">
        <v>30</v>
      </c>
      <c r="J84" s="54">
        <f t="shared" si="17"/>
        <v>75000</v>
      </c>
      <c r="K84" s="54"/>
      <c r="L84" s="55"/>
      <c r="M84" s="70"/>
      <c r="N84" s="55"/>
      <c r="O84" s="190"/>
      <c r="P84" s="79"/>
      <c r="Q84" s="81">
        <v>2135</v>
      </c>
      <c r="R84" s="56"/>
      <c r="S84" s="57">
        <v>250</v>
      </c>
      <c r="T84" s="56">
        <f t="shared" si="18"/>
        <v>72615</v>
      </c>
      <c r="U84" s="98"/>
      <c r="V84" s="60">
        <v>1010368877</v>
      </c>
      <c r="X84" s="25">
        <v>342709216</v>
      </c>
    </row>
    <row r="85" spans="1:35" ht="16.5" thickBot="1" x14ac:dyDescent="0.3">
      <c r="B85" s="22"/>
      <c r="D85" s="39"/>
      <c r="E85" s="40"/>
      <c r="F85" s="40"/>
      <c r="G85" s="41"/>
      <c r="H85" s="42">
        <f>SUM(H58:H84)</f>
        <v>1950000</v>
      </c>
      <c r="I85" s="41"/>
      <c r="J85" s="42">
        <f t="shared" ref="J85:S85" si="20">SUM(J58:J84)</f>
        <v>1950000</v>
      </c>
      <c r="K85" s="42">
        <f t="shared" si="20"/>
        <v>0</v>
      </c>
      <c r="L85" s="42">
        <f t="shared" si="20"/>
        <v>0</v>
      </c>
      <c r="M85" s="42">
        <f t="shared" si="20"/>
        <v>0</v>
      </c>
      <c r="N85" s="42">
        <f t="shared" si="20"/>
        <v>0</v>
      </c>
      <c r="O85" s="186">
        <f t="shared" si="20"/>
        <v>168000</v>
      </c>
      <c r="P85" s="42"/>
      <c r="Q85" s="42">
        <f t="shared" si="20"/>
        <v>10904</v>
      </c>
      <c r="R85" s="42">
        <f t="shared" si="20"/>
        <v>0</v>
      </c>
      <c r="S85" s="42">
        <f t="shared" si="20"/>
        <v>12725</v>
      </c>
      <c r="T85" s="42">
        <f>SUM(T58:T84)</f>
        <v>1758371</v>
      </c>
      <c r="U85" s="42" t="s">
        <v>336</v>
      </c>
      <c r="V85" s="40"/>
      <c r="X85" s="25"/>
    </row>
    <row r="86" spans="1:35" ht="17.25" thickTop="1" thickBot="1" x14ac:dyDescent="0.3">
      <c r="A86" s="99" t="s">
        <v>337</v>
      </c>
      <c r="B86" s="99"/>
      <c r="C86" s="100"/>
      <c r="D86" s="60"/>
      <c r="E86" s="60"/>
      <c r="F86" s="60"/>
      <c r="G86" s="61"/>
      <c r="H86" s="54"/>
      <c r="I86" s="19"/>
      <c r="J86" s="54"/>
      <c r="K86" s="54"/>
      <c r="L86" s="55"/>
      <c r="M86" s="70"/>
      <c r="N86" s="55"/>
      <c r="O86" s="185"/>
      <c r="P86" s="30"/>
      <c r="Q86" s="81"/>
      <c r="R86" s="56"/>
      <c r="S86" s="57"/>
      <c r="T86" s="56"/>
      <c r="U86" s="98"/>
      <c r="V86" s="60"/>
      <c r="X86" s="25"/>
    </row>
    <row r="87" spans="1:35" x14ac:dyDescent="0.25">
      <c r="A87" s="22">
        <v>1</v>
      </c>
      <c r="B87" s="22" t="s">
        <v>338</v>
      </c>
      <c r="C87" s="84" t="s">
        <v>339</v>
      </c>
      <c r="D87" s="60" t="s">
        <v>340</v>
      </c>
      <c r="E87" s="60" t="s">
        <v>341</v>
      </c>
      <c r="F87" s="60" t="s">
        <v>342</v>
      </c>
      <c r="G87" s="61">
        <v>45110</v>
      </c>
      <c r="H87" s="54">
        <v>150000</v>
      </c>
      <c r="I87" s="19">
        <v>30</v>
      </c>
      <c r="J87" s="54">
        <f t="shared" ref="J87:J92" si="21">H87/30*I87</f>
        <v>150000</v>
      </c>
      <c r="K87" s="54"/>
      <c r="L87" s="55"/>
      <c r="M87" s="70"/>
      <c r="N87" s="55"/>
      <c r="O87" s="192">
        <v>15000</v>
      </c>
      <c r="P87" s="20">
        <v>51</v>
      </c>
      <c r="Q87" s="81"/>
      <c r="R87" s="56"/>
      <c r="S87" s="57">
        <v>6000</v>
      </c>
      <c r="T87" s="56">
        <f t="shared" ref="T87:T92" si="22">J87+K87+0+L87-N87-O87-Q87-R87-S87</f>
        <v>129000</v>
      </c>
      <c r="U87" s="87"/>
      <c r="V87" s="60"/>
      <c r="X87" s="25"/>
    </row>
    <row r="88" spans="1:35" x14ac:dyDescent="0.25">
      <c r="A88" s="22">
        <f>1+A87</f>
        <v>2</v>
      </c>
      <c r="B88" s="22" t="s">
        <v>343</v>
      </c>
      <c r="C88" s="84" t="s">
        <v>344</v>
      </c>
      <c r="D88" s="60" t="s">
        <v>345</v>
      </c>
      <c r="E88" s="60" t="s">
        <v>346</v>
      </c>
      <c r="F88" s="60" t="s">
        <v>347</v>
      </c>
      <c r="G88" s="61">
        <v>44409</v>
      </c>
      <c r="H88" s="54">
        <v>80000</v>
      </c>
      <c r="I88" s="19">
        <v>30</v>
      </c>
      <c r="J88" s="54">
        <f t="shared" si="21"/>
        <v>80000</v>
      </c>
      <c r="K88" s="54"/>
      <c r="L88" s="55"/>
      <c r="M88" s="70">
        <f>79700-20000-20000-20000-19700</f>
        <v>0</v>
      </c>
      <c r="N88" s="55"/>
      <c r="O88" s="185"/>
      <c r="P88" s="30"/>
      <c r="Q88" s="81">
        <v>10942</v>
      </c>
      <c r="R88" s="56"/>
      <c r="S88" s="57">
        <v>300</v>
      </c>
      <c r="T88" s="56">
        <f t="shared" si="22"/>
        <v>68758</v>
      </c>
      <c r="U88" s="87"/>
      <c r="V88" s="60">
        <v>1010349681</v>
      </c>
      <c r="X88" s="25">
        <v>342709193</v>
      </c>
    </row>
    <row r="89" spans="1:35" ht="31.5" x14ac:dyDescent="0.25">
      <c r="A89" s="22">
        <f t="shared" ref="A89:A92" si="23">1+A88</f>
        <v>3</v>
      </c>
      <c r="B89" s="22" t="s">
        <v>348</v>
      </c>
      <c r="C89" s="84" t="s">
        <v>349</v>
      </c>
      <c r="D89" s="60" t="s">
        <v>350</v>
      </c>
      <c r="E89" s="60" t="s">
        <v>346</v>
      </c>
      <c r="F89" s="60" t="s">
        <v>351</v>
      </c>
      <c r="G89" s="61">
        <v>45423</v>
      </c>
      <c r="H89" s="54">
        <v>70000</v>
      </c>
      <c r="I89" s="19">
        <v>30</v>
      </c>
      <c r="J89" s="54">
        <f t="shared" si="21"/>
        <v>70000</v>
      </c>
      <c r="K89" s="54"/>
      <c r="L89" s="55"/>
      <c r="M89" s="70"/>
      <c r="N89" s="55"/>
      <c r="O89" s="185"/>
      <c r="P89" s="30"/>
      <c r="Q89" s="81"/>
      <c r="R89" s="56"/>
      <c r="S89" s="57">
        <v>200</v>
      </c>
      <c r="T89" s="56">
        <f t="shared" si="22"/>
        <v>69800</v>
      </c>
      <c r="U89" s="87"/>
      <c r="V89" s="60">
        <v>1010349214</v>
      </c>
      <c r="X89" s="25"/>
    </row>
    <row r="90" spans="1:35" x14ac:dyDescent="0.25">
      <c r="A90" s="22">
        <f t="shared" si="23"/>
        <v>4</v>
      </c>
      <c r="B90" s="22"/>
      <c r="C90" s="84" t="s">
        <v>352</v>
      </c>
      <c r="D90" s="60" t="s">
        <v>353</v>
      </c>
      <c r="E90" s="60" t="s">
        <v>354</v>
      </c>
      <c r="F90" s="60" t="s">
        <v>355</v>
      </c>
      <c r="G90" s="61">
        <v>46235</v>
      </c>
      <c r="H90" s="54">
        <v>60000</v>
      </c>
      <c r="I90" s="19">
        <v>30</v>
      </c>
      <c r="J90" s="54">
        <f t="shared" si="21"/>
        <v>60000</v>
      </c>
      <c r="K90" s="54"/>
      <c r="L90" s="55"/>
      <c r="M90" s="70"/>
      <c r="N90" s="55"/>
      <c r="O90" s="185"/>
      <c r="P90" s="30"/>
      <c r="Q90" s="81"/>
      <c r="R90" s="56"/>
      <c r="S90" s="57"/>
      <c r="T90" s="56">
        <f t="shared" si="22"/>
        <v>60000</v>
      </c>
      <c r="U90" s="87"/>
      <c r="V90" s="60"/>
      <c r="X90" s="25"/>
    </row>
    <row r="91" spans="1:35" x14ac:dyDescent="0.25">
      <c r="A91" s="22">
        <f t="shared" si="23"/>
        <v>5</v>
      </c>
      <c r="B91" s="22" t="s">
        <v>356</v>
      </c>
      <c r="C91" s="84" t="s">
        <v>357</v>
      </c>
      <c r="D91" s="60" t="s">
        <v>358</v>
      </c>
      <c r="E91" s="60" t="s">
        <v>346</v>
      </c>
      <c r="F91" s="101" t="s">
        <v>359</v>
      </c>
      <c r="G91" s="61">
        <v>45194</v>
      </c>
      <c r="H91" s="54">
        <v>55000</v>
      </c>
      <c r="I91" s="19">
        <v>30</v>
      </c>
      <c r="J91" s="54">
        <f t="shared" si="21"/>
        <v>55000</v>
      </c>
      <c r="K91" s="54"/>
      <c r="L91" s="55"/>
      <c r="M91" s="70"/>
      <c r="N91" s="55"/>
      <c r="O91" s="185"/>
      <c r="P91" s="30"/>
      <c r="Q91" s="81"/>
      <c r="R91" s="56"/>
      <c r="S91" s="57">
        <v>0</v>
      </c>
      <c r="T91" s="56">
        <f t="shared" si="22"/>
        <v>55000</v>
      </c>
      <c r="U91" s="87"/>
      <c r="V91" s="60"/>
      <c r="X91" s="25"/>
    </row>
    <row r="92" spans="1:35" x14ac:dyDescent="0.25">
      <c r="A92" s="22">
        <f t="shared" si="23"/>
        <v>6</v>
      </c>
      <c r="B92" s="22" t="s">
        <v>360</v>
      </c>
      <c r="C92" s="84" t="s">
        <v>361</v>
      </c>
      <c r="D92" s="60" t="s">
        <v>362</v>
      </c>
      <c r="E92" s="60" t="s">
        <v>363</v>
      </c>
      <c r="F92" s="25"/>
      <c r="G92" s="61">
        <v>44033</v>
      </c>
      <c r="H92" s="54">
        <v>45000</v>
      </c>
      <c r="I92" s="19">
        <v>30</v>
      </c>
      <c r="J92" s="54">
        <f t="shared" si="21"/>
        <v>45000</v>
      </c>
      <c r="K92" s="54"/>
      <c r="L92" s="55"/>
      <c r="M92" s="70"/>
      <c r="N92" s="55"/>
      <c r="O92" s="190"/>
      <c r="P92" s="79"/>
      <c r="Q92" s="81"/>
      <c r="R92" s="56"/>
      <c r="S92" s="57">
        <v>0</v>
      </c>
      <c r="T92" s="56">
        <f t="shared" si="22"/>
        <v>45000</v>
      </c>
      <c r="U92" s="87"/>
      <c r="V92" s="25"/>
      <c r="X92" s="25">
        <v>238701788</v>
      </c>
    </row>
    <row r="93" spans="1:35" ht="16.5" thickBot="1" x14ac:dyDescent="0.3">
      <c r="B93" s="22"/>
      <c r="D93" s="39"/>
      <c r="E93" s="40"/>
      <c r="F93" s="40"/>
      <c r="G93" s="41"/>
      <c r="H93" s="42">
        <f>SUM(H87:H92)</f>
        <v>460000</v>
      </c>
      <c r="I93" s="41"/>
      <c r="J93" s="42">
        <f t="shared" ref="J93:U93" si="24">SUM(J87:J92)</f>
        <v>460000</v>
      </c>
      <c r="K93" s="42">
        <f t="shared" si="24"/>
        <v>0</v>
      </c>
      <c r="L93" s="42">
        <f t="shared" si="24"/>
        <v>0</v>
      </c>
      <c r="M93" s="42">
        <f t="shared" si="24"/>
        <v>0</v>
      </c>
      <c r="N93" s="42">
        <f t="shared" si="24"/>
        <v>0</v>
      </c>
      <c r="O93" s="186">
        <f t="shared" si="24"/>
        <v>15000</v>
      </c>
      <c r="P93" s="42"/>
      <c r="Q93" s="42">
        <f t="shared" si="24"/>
        <v>10942</v>
      </c>
      <c r="R93" s="42">
        <f t="shared" si="24"/>
        <v>0</v>
      </c>
      <c r="S93" s="42">
        <f t="shared" si="24"/>
        <v>6500</v>
      </c>
      <c r="T93" s="42">
        <f>SUM(T87:T92)</f>
        <v>427558</v>
      </c>
      <c r="U93" s="42">
        <f t="shared" si="24"/>
        <v>0</v>
      </c>
      <c r="V93" s="40"/>
      <c r="X93" s="25"/>
    </row>
    <row r="94" spans="1:35" ht="17.25" thickTop="1" thickBot="1" x14ac:dyDescent="0.3">
      <c r="A94" s="16" t="s">
        <v>364</v>
      </c>
      <c r="B94" s="22"/>
      <c r="C94" s="17"/>
      <c r="D94" s="18"/>
      <c r="E94" s="18"/>
      <c r="F94" s="17"/>
      <c r="G94" s="17"/>
      <c r="H94" s="17"/>
      <c r="I94" s="19"/>
      <c r="J94" s="17"/>
      <c r="K94" s="17"/>
      <c r="L94" s="17"/>
      <c r="M94" s="17"/>
      <c r="N94" s="17"/>
      <c r="O94" s="184"/>
      <c r="P94" s="17"/>
      <c r="Q94" s="17"/>
      <c r="R94" s="20"/>
      <c r="S94" s="21"/>
      <c r="T94" s="20"/>
      <c r="U94" s="17"/>
      <c r="V94" s="17"/>
      <c r="X94" s="25"/>
    </row>
    <row r="95" spans="1:35" x14ac:dyDescent="0.25">
      <c r="A95" s="22">
        <v>1</v>
      </c>
      <c r="B95" s="22" t="s">
        <v>365</v>
      </c>
      <c r="C95" s="59" t="s">
        <v>366</v>
      </c>
      <c r="D95" s="60" t="s">
        <v>367</v>
      </c>
      <c r="E95" s="60" t="s">
        <v>368</v>
      </c>
      <c r="F95" s="60" t="s">
        <v>369</v>
      </c>
      <c r="G95" s="61">
        <v>43722</v>
      </c>
      <c r="H95" s="54">
        <v>125000</v>
      </c>
      <c r="I95" s="19">
        <v>30</v>
      </c>
      <c r="J95" s="54">
        <f>H95/30*I95</f>
        <v>125000.00000000001</v>
      </c>
      <c r="K95" s="54"/>
      <c r="L95" s="55"/>
      <c r="M95" s="70"/>
      <c r="N95" s="70"/>
      <c r="O95" s="192"/>
      <c r="P95" s="30"/>
      <c r="Q95" s="81">
        <v>3743</v>
      </c>
      <c r="R95" s="56"/>
      <c r="S95" s="57">
        <v>1600</v>
      </c>
      <c r="T95" s="56">
        <f>J95+K95+0+L95-N95-O95-Q95-R95-S95</f>
        <v>119657.00000000001</v>
      </c>
      <c r="U95" s="87"/>
      <c r="V95" s="60">
        <v>1010440824</v>
      </c>
      <c r="X95" s="25">
        <v>342709162</v>
      </c>
    </row>
    <row r="96" spans="1:35" ht="31.5" x14ac:dyDescent="0.25">
      <c r="A96" s="22">
        <v>2</v>
      </c>
      <c r="B96" s="22" t="s">
        <v>370</v>
      </c>
      <c r="C96" s="23" t="s">
        <v>371</v>
      </c>
      <c r="D96" s="24" t="s">
        <v>372</v>
      </c>
      <c r="E96" s="24" t="s">
        <v>373</v>
      </c>
      <c r="F96" s="24" t="s">
        <v>374</v>
      </c>
      <c r="G96" s="26">
        <v>44510</v>
      </c>
      <c r="H96" s="27">
        <v>80000</v>
      </c>
      <c r="I96" s="19">
        <v>30</v>
      </c>
      <c r="J96" s="27">
        <f>H96/30*I96</f>
        <v>80000</v>
      </c>
      <c r="K96" s="27"/>
      <c r="L96" s="19"/>
      <c r="M96" s="28"/>
      <c r="N96" s="19"/>
      <c r="O96" s="185"/>
      <c r="P96" s="30"/>
      <c r="Q96" s="31"/>
      <c r="R96" s="56"/>
      <c r="S96" s="33">
        <v>300</v>
      </c>
      <c r="T96" s="56">
        <f>J96+K96+0+L96-N96-O96-Q96-R96-S96</f>
        <v>79700</v>
      </c>
      <c r="U96" s="38"/>
      <c r="V96" s="24"/>
      <c r="X96" s="25">
        <v>376314925</v>
      </c>
    </row>
    <row r="97" spans="1:35" ht="16.5" thickBot="1" x14ac:dyDescent="0.3">
      <c r="B97" s="22"/>
      <c r="D97" s="39"/>
      <c r="E97" s="40"/>
      <c r="F97" s="40"/>
      <c r="G97" s="41"/>
      <c r="H97" s="42">
        <f>SUM(H95:H96)</f>
        <v>205000</v>
      </c>
      <c r="I97" s="41"/>
      <c r="J97" s="42">
        <f t="shared" ref="J97:U97" si="25">SUM(J95:J96)</f>
        <v>205000</v>
      </c>
      <c r="K97" s="42">
        <f t="shared" si="25"/>
        <v>0</v>
      </c>
      <c r="L97" s="42">
        <f t="shared" si="25"/>
        <v>0</v>
      </c>
      <c r="M97" s="42">
        <f t="shared" si="25"/>
        <v>0</v>
      </c>
      <c r="N97" s="42">
        <f t="shared" si="25"/>
        <v>0</v>
      </c>
      <c r="O97" s="186">
        <f t="shared" si="25"/>
        <v>0</v>
      </c>
      <c r="P97" s="42"/>
      <c r="Q97" s="42">
        <f t="shared" si="25"/>
        <v>3743</v>
      </c>
      <c r="R97" s="42">
        <f t="shared" si="25"/>
        <v>0</v>
      </c>
      <c r="S97" s="42">
        <f t="shared" si="25"/>
        <v>1900</v>
      </c>
      <c r="T97" s="42">
        <f>SUM(T95:T96)</f>
        <v>199357</v>
      </c>
      <c r="U97" s="42">
        <f t="shared" si="25"/>
        <v>0</v>
      </c>
      <c r="V97" s="40"/>
      <c r="X97" s="25"/>
    </row>
    <row r="98" spans="1:35" ht="17.25" thickTop="1" thickBot="1" x14ac:dyDescent="0.3">
      <c r="A98" s="16" t="s">
        <v>375</v>
      </c>
      <c r="B98" s="22"/>
      <c r="C98" s="17"/>
      <c r="D98" s="18"/>
      <c r="E98" s="18"/>
      <c r="F98" s="17"/>
      <c r="G98" s="17"/>
      <c r="H98" s="17"/>
      <c r="I98" s="19"/>
      <c r="J98" s="17"/>
      <c r="K98" s="17"/>
      <c r="L98" s="17"/>
      <c r="M98" s="17"/>
      <c r="N98" s="17"/>
      <c r="O98" s="184"/>
      <c r="P98" s="17"/>
      <c r="Q98" s="17"/>
      <c r="R98" s="20"/>
      <c r="S98" s="21"/>
      <c r="T98" s="20"/>
      <c r="U98" s="17"/>
      <c r="V98" s="17"/>
      <c r="X98" s="25"/>
    </row>
    <row r="99" spans="1:35" x14ac:dyDescent="0.25">
      <c r="A99" s="22">
        <v>1</v>
      </c>
      <c r="B99" s="22" t="s">
        <v>376</v>
      </c>
      <c r="C99" s="59" t="s">
        <v>377</v>
      </c>
      <c r="D99" s="60" t="s">
        <v>378</v>
      </c>
      <c r="E99" s="60" t="s">
        <v>379</v>
      </c>
      <c r="F99" s="60" t="s">
        <v>380</v>
      </c>
      <c r="G99" s="61">
        <v>42856</v>
      </c>
      <c r="H99" s="54">
        <v>85000</v>
      </c>
      <c r="I99" s="19">
        <v>30</v>
      </c>
      <c r="J99" s="54">
        <f t="shared" ref="J99:J109" si="26">H99/30*I99</f>
        <v>85000</v>
      </c>
      <c r="K99" s="54"/>
      <c r="L99" s="55"/>
      <c r="M99" s="70">
        <f>25000-5000-5000-5000-5000-5000</f>
        <v>0</v>
      </c>
      <c r="N99" s="55"/>
      <c r="O99" s="192">
        <v>55000</v>
      </c>
      <c r="P99" s="20">
        <v>5</v>
      </c>
      <c r="Q99" s="71">
        <v>8950</v>
      </c>
      <c r="R99" s="56"/>
      <c r="S99" s="57">
        <v>350</v>
      </c>
      <c r="T99" s="56">
        <f t="shared" ref="T99:T109" si="27">J99+K99+0+L99-N99-O99-Q99-R99-S99</f>
        <v>20700</v>
      </c>
      <c r="U99" s="102"/>
      <c r="V99" s="60"/>
      <c r="X99" s="25">
        <v>342709155</v>
      </c>
      <c r="AA99" s="2">
        <f>5000+25000+6000+15000+12500+20000+12000+40000+70000+30000+70000+20000+10000+30000+25000+20000+5000+35000+87500+30000+25000+15000+20000+10000+20000+20000+30000+25000+10000+7000+20000</f>
        <v>770000</v>
      </c>
    </row>
    <row r="100" spans="1:35" x14ac:dyDescent="0.25">
      <c r="A100" s="22">
        <f t="shared" ref="A100:A109" si="28">1+A99</f>
        <v>2</v>
      </c>
      <c r="B100" s="22" t="s">
        <v>381</v>
      </c>
      <c r="C100" s="59" t="s">
        <v>382</v>
      </c>
      <c r="D100" s="60" t="s">
        <v>383</v>
      </c>
      <c r="E100" s="60" t="s">
        <v>285</v>
      </c>
      <c r="F100" s="60" t="s">
        <v>384</v>
      </c>
      <c r="G100" s="61">
        <v>44158</v>
      </c>
      <c r="H100" s="54">
        <v>100000</v>
      </c>
      <c r="I100" s="19">
        <v>30</v>
      </c>
      <c r="J100" s="54">
        <f t="shared" si="26"/>
        <v>100000</v>
      </c>
      <c r="K100" s="54"/>
      <c r="L100" s="55"/>
      <c r="M100" s="70">
        <f>75000-10000-10000-10000+30000-10000-10000-10000-10000-10000+30000+50000-10000-10000-10000+25000-10000-10000-10000-10000-10000-10000-10000-10000-10000-10000+10000-10000</f>
        <v>0</v>
      </c>
      <c r="N100" s="103"/>
      <c r="O100" s="190">
        <f>15000+40000</f>
        <v>55000</v>
      </c>
      <c r="P100" s="80" t="s">
        <v>385</v>
      </c>
      <c r="Q100" s="71">
        <v>26399</v>
      </c>
      <c r="R100" s="56"/>
      <c r="S100" s="57">
        <v>500</v>
      </c>
      <c r="T100" s="56">
        <f t="shared" si="27"/>
        <v>18101</v>
      </c>
      <c r="U100" s="104"/>
      <c r="V100" s="60"/>
      <c r="X100" s="25">
        <v>342709131</v>
      </c>
    </row>
    <row r="101" spans="1:35" ht="31.5" x14ac:dyDescent="0.25">
      <c r="A101" s="22">
        <f t="shared" si="28"/>
        <v>3</v>
      </c>
      <c r="B101" s="22" t="s">
        <v>386</v>
      </c>
      <c r="C101" s="59" t="s">
        <v>387</v>
      </c>
      <c r="D101" s="60" t="s">
        <v>388</v>
      </c>
      <c r="E101" s="60" t="s">
        <v>285</v>
      </c>
      <c r="F101" s="60" t="s">
        <v>389</v>
      </c>
      <c r="G101" s="61">
        <v>44459</v>
      </c>
      <c r="H101" s="54">
        <v>67500</v>
      </c>
      <c r="I101" s="19">
        <v>30</v>
      </c>
      <c r="J101" s="54">
        <f t="shared" si="26"/>
        <v>67500</v>
      </c>
      <c r="K101" s="54"/>
      <c r="L101" s="55"/>
      <c r="M101" s="70">
        <f>20000-5000-5000-5000-5000+25000-5000-5000-5000-5000-5000+25000-5000-5000-5000-5000-5000+25000-5000-5000-5000-5000-5000</f>
        <v>0</v>
      </c>
      <c r="N101" s="103"/>
      <c r="O101" s="190"/>
      <c r="P101" s="79"/>
      <c r="Q101" s="71">
        <v>1008</v>
      </c>
      <c r="R101" s="56"/>
      <c r="S101" s="57">
        <v>0</v>
      </c>
      <c r="T101" s="56">
        <f t="shared" si="27"/>
        <v>66492</v>
      </c>
      <c r="U101" s="105"/>
      <c r="V101" s="60">
        <v>1010350007</v>
      </c>
      <c r="X101" s="25"/>
    </row>
    <row r="102" spans="1:35" x14ac:dyDescent="0.25">
      <c r="A102" s="22">
        <f t="shared" si="28"/>
        <v>4</v>
      </c>
      <c r="B102" s="22" t="s">
        <v>390</v>
      </c>
      <c r="C102" s="59" t="s">
        <v>391</v>
      </c>
      <c r="D102" s="60" t="s">
        <v>392</v>
      </c>
      <c r="E102" s="60" t="s">
        <v>285</v>
      </c>
      <c r="F102" s="60" t="s">
        <v>393</v>
      </c>
      <c r="G102" s="61">
        <v>44483</v>
      </c>
      <c r="H102" s="54">
        <v>62500</v>
      </c>
      <c r="I102" s="19">
        <v>30</v>
      </c>
      <c r="J102" s="54">
        <f t="shared" si="26"/>
        <v>62500.000000000007</v>
      </c>
      <c r="K102" s="54"/>
      <c r="L102" s="55"/>
      <c r="M102" s="70"/>
      <c r="N102" s="55"/>
      <c r="O102" s="190"/>
      <c r="P102" s="79"/>
      <c r="Q102" s="71"/>
      <c r="R102" s="56"/>
      <c r="S102" s="57">
        <v>0</v>
      </c>
      <c r="T102" s="56">
        <f t="shared" si="27"/>
        <v>62500.000000000007</v>
      </c>
      <c r="U102" s="105"/>
      <c r="V102" s="60">
        <v>1010348553</v>
      </c>
      <c r="X102" s="25">
        <v>342709094</v>
      </c>
    </row>
    <row r="103" spans="1:35" x14ac:dyDescent="0.25">
      <c r="A103" s="22">
        <f t="shared" si="28"/>
        <v>5</v>
      </c>
      <c r="B103" s="22" t="s">
        <v>394</v>
      </c>
      <c r="C103" s="59" t="s">
        <v>179</v>
      </c>
      <c r="D103" s="60" t="s">
        <v>395</v>
      </c>
      <c r="E103" s="60" t="s">
        <v>285</v>
      </c>
      <c r="F103" s="60" t="s">
        <v>396</v>
      </c>
      <c r="G103" s="61">
        <v>44379</v>
      </c>
      <c r="H103" s="54">
        <v>65000</v>
      </c>
      <c r="I103" s="19">
        <v>30</v>
      </c>
      <c r="J103" s="54">
        <f t="shared" si="26"/>
        <v>64999.999999999993</v>
      </c>
      <c r="K103" s="54"/>
      <c r="L103" s="55"/>
      <c r="M103" s="70">
        <f>50000-5000-5000-5000-5000-5000-5000-5000-5000-5000-5000</f>
        <v>0</v>
      </c>
      <c r="N103" s="55"/>
      <c r="O103" s="190"/>
      <c r="P103" s="79"/>
      <c r="Q103" s="71"/>
      <c r="R103" s="56"/>
      <c r="S103" s="57">
        <v>0</v>
      </c>
      <c r="T103" s="56">
        <f t="shared" si="27"/>
        <v>64999.999999999993</v>
      </c>
      <c r="U103" s="25"/>
      <c r="V103" s="60">
        <v>1010354668</v>
      </c>
      <c r="X103" s="25">
        <v>342709056</v>
      </c>
    </row>
    <row r="104" spans="1:35" x14ac:dyDescent="0.25">
      <c r="A104" s="22">
        <f t="shared" si="28"/>
        <v>6</v>
      </c>
      <c r="B104" s="22" t="s">
        <v>397</v>
      </c>
      <c r="C104" s="59" t="s">
        <v>398</v>
      </c>
      <c r="D104" s="60" t="s">
        <v>399</v>
      </c>
      <c r="E104" s="60" t="s">
        <v>285</v>
      </c>
      <c r="F104" s="60" t="s">
        <v>400</v>
      </c>
      <c r="G104" s="61">
        <v>45323</v>
      </c>
      <c r="H104" s="54">
        <v>60000</v>
      </c>
      <c r="I104" s="19">
        <v>30</v>
      </c>
      <c r="J104" s="54">
        <f t="shared" si="26"/>
        <v>60000</v>
      </c>
      <c r="K104" s="54"/>
      <c r="L104" s="55"/>
      <c r="M104" s="70">
        <f>40000-5000-5000-5000-5000-5000-5000-5000-5000</f>
        <v>0</v>
      </c>
      <c r="N104" s="55">
        <v>5000</v>
      </c>
      <c r="O104" s="190"/>
      <c r="P104" s="79"/>
      <c r="Q104" s="71"/>
      <c r="R104" s="56"/>
      <c r="S104" s="57">
        <v>0</v>
      </c>
      <c r="T104" s="56">
        <f t="shared" si="27"/>
        <v>55000</v>
      </c>
      <c r="U104" s="25"/>
      <c r="V104" s="60">
        <v>1010354420</v>
      </c>
      <c r="X104" s="25">
        <v>294078174</v>
      </c>
    </row>
    <row r="105" spans="1:35" ht="31.5" x14ac:dyDescent="0.25">
      <c r="A105" s="22">
        <f t="shared" si="28"/>
        <v>7</v>
      </c>
      <c r="B105" s="22" t="s">
        <v>401</v>
      </c>
      <c r="C105" s="59" t="s">
        <v>402</v>
      </c>
      <c r="D105" s="60" t="s">
        <v>403</v>
      </c>
      <c r="E105" s="60" t="s">
        <v>285</v>
      </c>
      <c r="F105" s="60" t="s">
        <v>404</v>
      </c>
      <c r="G105" s="61">
        <v>44621</v>
      </c>
      <c r="H105" s="54">
        <v>62500</v>
      </c>
      <c r="I105" s="19">
        <v>30</v>
      </c>
      <c r="J105" s="54">
        <f t="shared" si="26"/>
        <v>62500.000000000007</v>
      </c>
      <c r="K105" s="54"/>
      <c r="L105" s="55"/>
      <c r="M105" s="70">
        <v>15000</v>
      </c>
      <c r="N105" s="55"/>
      <c r="O105" s="190"/>
      <c r="P105" s="80">
        <v>55</v>
      </c>
      <c r="Q105" s="71">
        <v>5911</v>
      </c>
      <c r="R105" s="56"/>
      <c r="S105" s="57">
        <v>0</v>
      </c>
      <c r="T105" s="56">
        <f t="shared" si="27"/>
        <v>56589.000000000007</v>
      </c>
      <c r="U105" s="106" t="s">
        <v>405</v>
      </c>
      <c r="V105" s="25">
        <v>1010375158</v>
      </c>
      <c r="X105" s="25"/>
    </row>
    <row r="106" spans="1:35" x14ac:dyDescent="0.25">
      <c r="A106" s="22">
        <f t="shared" si="28"/>
        <v>8</v>
      </c>
      <c r="B106" s="22" t="s">
        <v>406</v>
      </c>
      <c r="C106" s="59" t="s">
        <v>407</v>
      </c>
      <c r="D106" s="60"/>
      <c r="E106" s="60" t="s">
        <v>285</v>
      </c>
      <c r="F106" s="60" t="s">
        <v>408</v>
      </c>
      <c r="G106" s="61">
        <v>45292</v>
      </c>
      <c r="H106" s="54">
        <v>60000</v>
      </c>
      <c r="I106" s="19">
        <v>30</v>
      </c>
      <c r="J106" s="54">
        <f t="shared" si="26"/>
        <v>60000</v>
      </c>
      <c r="K106" s="54"/>
      <c r="L106" s="55"/>
      <c r="M106" s="70">
        <f>40000-5000-5000-5000-5000-5000-5000-5000-5000</f>
        <v>0</v>
      </c>
      <c r="N106" s="55"/>
      <c r="O106" s="190"/>
      <c r="P106" s="79"/>
      <c r="Q106" s="71">
        <v>9337</v>
      </c>
      <c r="R106" s="56"/>
      <c r="S106" s="57">
        <v>0</v>
      </c>
      <c r="T106" s="56">
        <f t="shared" si="27"/>
        <v>50663</v>
      </c>
      <c r="U106" s="105"/>
      <c r="V106" s="60">
        <v>1010355889</v>
      </c>
      <c r="X106" s="25">
        <v>343434836</v>
      </c>
    </row>
    <row r="107" spans="1:35" x14ac:dyDescent="0.25">
      <c r="A107" s="22">
        <f t="shared" si="28"/>
        <v>9</v>
      </c>
      <c r="B107" s="22" t="s">
        <v>409</v>
      </c>
      <c r="C107" s="59" t="s">
        <v>410</v>
      </c>
      <c r="D107" s="60" t="s">
        <v>411</v>
      </c>
      <c r="E107" s="60" t="s">
        <v>412</v>
      </c>
      <c r="F107" s="60" t="s">
        <v>413</v>
      </c>
      <c r="G107" s="61">
        <v>45231</v>
      </c>
      <c r="H107" s="54">
        <v>50000</v>
      </c>
      <c r="I107" s="19">
        <v>30</v>
      </c>
      <c r="J107" s="54">
        <f t="shared" si="26"/>
        <v>50000</v>
      </c>
      <c r="K107" s="54"/>
      <c r="L107" s="55"/>
      <c r="M107" s="70">
        <f>5000-5000</f>
        <v>0</v>
      </c>
      <c r="N107" s="55"/>
      <c r="O107" s="190"/>
      <c r="P107" s="79"/>
      <c r="Q107" s="71">
        <v>120</v>
      </c>
      <c r="R107" s="56"/>
      <c r="S107" s="57">
        <v>0</v>
      </c>
      <c r="T107" s="56">
        <f t="shared" si="27"/>
        <v>49880</v>
      </c>
      <c r="U107" s="102"/>
      <c r="V107" s="60">
        <v>1010348622</v>
      </c>
      <c r="X107" s="25">
        <v>342710261</v>
      </c>
    </row>
    <row r="108" spans="1:35" s="68" customFormat="1" x14ac:dyDescent="0.25">
      <c r="A108" s="22">
        <f t="shared" si="28"/>
        <v>10</v>
      </c>
      <c r="B108" s="22" t="s">
        <v>414</v>
      </c>
      <c r="C108" s="107" t="s">
        <v>415</v>
      </c>
      <c r="D108" s="108" t="s">
        <v>416</v>
      </c>
      <c r="E108" s="109" t="s">
        <v>417</v>
      </c>
      <c r="F108" s="109" t="s">
        <v>418</v>
      </c>
      <c r="G108" s="110"/>
      <c r="H108" s="111">
        <v>50000</v>
      </c>
      <c r="I108" s="19">
        <v>30</v>
      </c>
      <c r="J108" s="54">
        <f t="shared" si="26"/>
        <v>50000</v>
      </c>
      <c r="K108" s="111"/>
      <c r="L108" s="112"/>
      <c r="M108" s="113"/>
      <c r="N108" s="112"/>
      <c r="O108" s="191"/>
      <c r="P108" s="94"/>
      <c r="Q108" s="114"/>
      <c r="R108" s="115"/>
      <c r="S108" s="96">
        <v>0</v>
      </c>
      <c r="T108" s="56">
        <f t="shared" si="27"/>
        <v>50000</v>
      </c>
      <c r="U108" s="116"/>
      <c r="V108" s="25">
        <v>1010348575</v>
      </c>
      <c r="X108" s="25">
        <v>342710209</v>
      </c>
      <c r="AB108" s="2"/>
      <c r="AC108" s="2"/>
      <c r="AD108" s="2"/>
      <c r="AE108" s="2"/>
      <c r="AF108" s="2"/>
      <c r="AH108" s="2"/>
      <c r="AI108" s="2"/>
    </row>
    <row r="109" spans="1:35" s="68" customFormat="1" x14ac:dyDescent="0.25">
      <c r="A109" s="22">
        <f t="shared" si="28"/>
        <v>11</v>
      </c>
      <c r="B109" s="22" t="s">
        <v>419</v>
      </c>
      <c r="C109" s="93" t="s">
        <v>420</v>
      </c>
      <c r="D109" s="66"/>
      <c r="E109" s="89" t="s">
        <v>285</v>
      </c>
      <c r="F109" s="89" t="s">
        <v>421</v>
      </c>
      <c r="G109" s="61">
        <v>46030</v>
      </c>
      <c r="H109" s="54">
        <v>55000</v>
      </c>
      <c r="I109" s="19">
        <v>30</v>
      </c>
      <c r="J109" s="54">
        <f t="shared" si="26"/>
        <v>55000</v>
      </c>
      <c r="K109" s="54"/>
      <c r="L109" s="55"/>
      <c r="M109" s="54"/>
      <c r="N109" s="55"/>
      <c r="O109" s="191"/>
      <c r="P109" s="94"/>
      <c r="Q109" s="54"/>
      <c r="R109" s="56"/>
      <c r="S109" s="96">
        <v>0</v>
      </c>
      <c r="T109" s="56">
        <f t="shared" si="27"/>
        <v>55000</v>
      </c>
      <c r="U109" s="117"/>
      <c r="V109" s="89"/>
      <c r="W109" s="97"/>
      <c r="X109" s="25">
        <v>334693921</v>
      </c>
      <c r="AB109" s="2"/>
      <c r="AC109" s="2"/>
      <c r="AD109" s="2"/>
      <c r="AE109" s="2"/>
      <c r="AF109" s="2"/>
      <c r="AH109" s="2"/>
      <c r="AI109" s="2"/>
    </row>
    <row r="110" spans="1:35" ht="16.5" thickBot="1" x14ac:dyDescent="0.3">
      <c r="B110" s="22"/>
      <c r="D110" s="39"/>
      <c r="E110" s="40"/>
      <c r="F110" s="40"/>
      <c r="G110" s="41"/>
      <c r="H110" s="42">
        <f>SUM(H99:H109)</f>
        <v>717500</v>
      </c>
      <c r="I110" s="41"/>
      <c r="J110" s="42">
        <f t="shared" ref="J110:S110" si="29">SUM(J99:J109)</f>
        <v>717500</v>
      </c>
      <c r="K110" s="42">
        <f t="shared" si="29"/>
        <v>0</v>
      </c>
      <c r="L110" s="42">
        <f t="shared" si="29"/>
        <v>0</v>
      </c>
      <c r="M110" s="42">
        <f t="shared" si="29"/>
        <v>15000</v>
      </c>
      <c r="N110" s="42">
        <f t="shared" si="29"/>
        <v>5000</v>
      </c>
      <c r="O110" s="186">
        <f t="shared" si="29"/>
        <v>110000</v>
      </c>
      <c r="P110" s="42"/>
      <c r="Q110" s="42">
        <f t="shared" si="29"/>
        <v>51725</v>
      </c>
      <c r="R110" s="42">
        <f t="shared" si="29"/>
        <v>0</v>
      </c>
      <c r="S110" s="42">
        <f t="shared" si="29"/>
        <v>850</v>
      </c>
      <c r="T110" s="42">
        <f>SUM(T99:T109)</f>
        <v>549925</v>
      </c>
      <c r="U110" s="42">
        <f>SUM(U99:U108)</f>
        <v>0</v>
      </c>
      <c r="V110" s="40"/>
      <c r="X110" s="25"/>
    </row>
    <row r="111" spans="1:35" ht="16.5" thickTop="1" x14ac:dyDescent="0.25">
      <c r="A111" s="16" t="s">
        <v>422</v>
      </c>
      <c r="B111" s="22"/>
      <c r="C111" s="17"/>
      <c r="D111" s="18"/>
      <c r="E111" s="18"/>
      <c r="F111" s="17"/>
      <c r="G111" s="17"/>
      <c r="H111" s="17"/>
      <c r="I111" s="19"/>
      <c r="J111" s="17"/>
      <c r="K111" s="17"/>
      <c r="L111" s="17"/>
      <c r="M111" s="17"/>
      <c r="N111" s="17"/>
      <c r="O111" s="184"/>
      <c r="P111" s="17"/>
      <c r="Q111" s="17"/>
      <c r="R111" s="20"/>
      <c r="S111" s="21"/>
      <c r="T111" s="20"/>
      <c r="U111" s="17"/>
      <c r="V111" s="17"/>
      <c r="X111" s="25"/>
    </row>
    <row r="112" spans="1:35" s="68" customFormat="1" x14ac:dyDescent="0.25">
      <c r="A112" s="22">
        <v>1</v>
      </c>
      <c r="B112" s="22" t="s">
        <v>423</v>
      </c>
      <c r="C112" s="69" t="s">
        <v>424</v>
      </c>
      <c r="D112" s="66" t="s">
        <v>425</v>
      </c>
      <c r="E112" s="66" t="s">
        <v>426</v>
      </c>
      <c r="F112" s="66" t="s">
        <v>427</v>
      </c>
      <c r="G112" s="61">
        <v>43694</v>
      </c>
      <c r="H112" s="54">
        <v>100000</v>
      </c>
      <c r="I112" s="19">
        <v>30</v>
      </c>
      <c r="J112" s="54">
        <f t="shared" ref="J112:J133" si="30">H112/30*I112</f>
        <v>100000</v>
      </c>
      <c r="K112" s="54">
        <v>2500</v>
      </c>
      <c r="L112" s="55"/>
      <c r="M112" s="70">
        <f>100000-10000-10000-10000-10000-10000-10000-10000</f>
        <v>30000</v>
      </c>
      <c r="N112" s="55">
        <v>10000</v>
      </c>
      <c r="O112" s="190">
        <v>40000</v>
      </c>
      <c r="P112" s="80">
        <v>19</v>
      </c>
      <c r="Q112" s="71"/>
      <c r="R112" s="56"/>
      <c r="S112" s="72">
        <v>500</v>
      </c>
      <c r="T112" s="56">
        <f t="shared" ref="T112:T133" si="31">J112+K112+0+L112-N112-O112-Q112-R112-S112</f>
        <v>52000</v>
      </c>
      <c r="U112" s="105"/>
      <c r="V112" s="66">
        <v>1010350533</v>
      </c>
      <c r="X112" s="25">
        <v>342710193</v>
      </c>
      <c r="AB112" s="2"/>
      <c r="AC112" s="2"/>
      <c r="AD112" s="2"/>
      <c r="AE112" s="2"/>
      <c r="AF112" s="2"/>
      <c r="AH112" s="2"/>
      <c r="AI112" s="2"/>
    </row>
    <row r="113" spans="1:35" s="68" customFormat="1" x14ac:dyDescent="0.25">
      <c r="A113" s="22">
        <f t="shared" ref="A113:A133" si="32">1+A112</f>
        <v>2</v>
      </c>
      <c r="B113" s="22" t="s">
        <v>428</v>
      </c>
      <c r="C113" s="69" t="s">
        <v>429</v>
      </c>
      <c r="D113" s="66" t="s">
        <v>430</v>
      </c>
      <c r="E113" s="66" t="s">
        <v>431</v>
      </c>
      <c r="F113" s="66" t="s">
        <v>432</v>
      </c>
      <c r="G113" s="61">
        <v>43651</v>
      </c>
      <c r="H113" s="54">
        <v>75000</v>
      </c>
      <c r="I113" s="19">
        <v>30</v>
      </c>
      <c r="J113" s="54">
        <f t="shared" si="30"/>
        <v>75000</v>
      </c>
      <c r="K113" s="54"/>
      <c r="L113" s="55"/>
      <c r="M113" s="70">
        <f>50000-5000-5000-5000-5000-5000-5000+5000-5000-5000-5000-5000-5000</f>
        <v>0</v>
      </c>
      <c r="N113" s="55"/>
      <c r="O113" s="190">
        <v>30000</v>
      </c>
      <c r="P113" s="80">
        <v>20</v>
      </c>
      <c r="Q113" s="71">
        <v>2956</v>
      </c>
      <c r="R113" s="56"/>
      <c r="S113" s="72">
        <v>250</v>
      </c>
      <c r="T113" s="56">
        <f t="shared" si="31"/>
        <v>41794</v>
      </c>
      <c r="U113" s="105"/>
      <c r="V113" s="66">
        <v>1010368913</v>
      </c>
      <c r="X113" s="25">
        <v>342710186</v>
      </c>
      <c r="AB113" s="2"/>
      <c r="AC113" s="2"/>
      <c r="AD113" s="2"/>
      <c r="AE113" s="2"/>
      <c r="AF113" s="2"/>
      <c r="AH113" s="2"/>
      <c r="AI113" s="2"/>
    </row>
    <row r="114" spans="1:35" s="68" customFormat="1" x14ac:dyDescent="0.25">
      <c r="A114" s="22">
        <f t="shared" si="32"/>
        <v>3</v>
      </c>
      <c r="B114" s="22" t="s">
        <v>433</v>
      </c>
      <c r="C114" s="69" t="s">
        <v>434</v>
      </c>
      <c r="D114" s="66" t="s">
        <v>435</v>
      </c>
      <c r="E114" s="66" t="s">
        <v>436</v>
      </c>
      <c r="F114" s="66" t="s">
        <v>437</v>
      </c>
      <c r="G114" s="61">
        <v>44118</v>
      </c>
      <c r="H114" s="54">
        <v>65000</v>
      </c>
      <c r="I114" s="19">
        <v>30</v>
      </c>
      <c r="J114" s="54">
        <f t="shared" si="30"/>
        <v>64999.999999999993</v>
      </c>
      <c r="K114" s="54"/>
      <c r="L114" s="55"/>
      <c r="M114" s="70">
        <f>50000-10000-5000-5000-5000-5000-5000-5000-5000-5000</f>
        <v>0</v>
      </c>
      <c r="N114" s="55"/>
      <c r="O114" s="190"/>
      <c r="P114" s="79"/>
      <c r="Q114" s="71"/>
      <c r="R114" s="56"/>
      <c r="S114" s="72">
        <v>0</v>
      </c>
      <c r="T114" s="56">
        <f t="shared" si="31"/>
        <v>64999.999999999993</v>
      </c>
      <c r="U114" s="105"/>
      <c r="V114" s="66">
        <v>1010350334</v>
      </c>
      <c r="X114" s="25">
        <v>342710179</v>
      </c>
      <c r="AB114" s="2"/>
      <c r="AC114" s="2"/>
      <c r="AD114" s="2"/>
      <c r="AE114" s="2"/>
      <c r="AF114" s="2"/>
      <c r="AH114" s="2"/>
      <c r="AI114" s="2"/>
    </row>
    <row r="115" spans="1:35" s="68" customFormat="1" x14ac:dyDescent="0.25">
      <c r="A115" s="22">
        <f t="shared" si="32"/>
        <v>4</v>
      </c>
      <c r="B115" s="22" t="s">
        <v>438</v>
      </c>
      <c r="C115" s="69" t="s">
        <v>439</v>
      </c>
      <c r="D115" s="66" t="s">
        <v>440</v>
      </c>
      <c r="E115" s="66" t="s">
        <v>436</v>
      </c>
      <c r="F115" s="66" t="s">
        <v>441</v>
      </c>
      <c r="G115" s="61">
        <v>44118</v>
      </c>
      <c r="H115" s="54">
        <v>65000</v>
      </c>
      <c r="I115" s="19">
        <v>30</v>
      </c>
      <c r="J115" s="54">
        <f t="shared" si="30"/>
        <v>64999.999999999993</v>
      </c>
      <c r="K115" s="54"/>
      <c r="L115" s="55"/>
      <c r="M115" s="70">
        <f>40000-5000-5000-5000-5000-5000-5000-5000-5000+50000-5000-5000-5000-5000-5000-5000-5000-5000-5000-5000</f>
        <v>0</v>
      </c>
      <c r="N115" s="55"/>
      <c r="O115" s="190">
        <v>30000</v>
      </c>
      <c r="P115" s="80">
        <v>22</v>
      </c>
      <c r="Q115" s="71">
        <v>5250</v>
      </c>
      <c r="R115" s="56"/>
      <c r="S115" s="72">
        <v>0</v>
      </c>
      <c r="T115" s="56">
        <f t="shared" si="31"/>
        <v>29749.999999999993</v>
      </c>
      <c r="U115" s="105"/>
      <c r="V115" s="66">
        <v>1010350712</v>
      </c>
      <c r="X115" s="25">
        <v>2007981271</v>
      </c>
      <c r="AB115" s="2"/>
      <c r="AC115" s="2"/>
      <c r="AD115" s="2"/>
      <c r="AE115" s="2"/>
      <c r="AF115" s="2"/>
      <c r="AH115" s="2"/>
      <c r="AI115" s="2"/>
    </row>
    <row r="116" spans="1:35" s="68" customFormat="1" ht="31.5" x14ac:dyDescent="0.25">
      <c r="A116" s="22">
        <f t="shared" si="32"/>
        <v>5</v>
      </c>
      <c r="B116" s="22" t="s">
        <v>442</v>
      </c>
      <c r="C116" s="69" t="s">
        <v>443</v>
      </c>
      <c r="D116" s="66" t="s">
        <v>444</v>
      </c>
      <c r="E116" s="66" t="s">
        <v>436</v>
      </c>
      <c r="F116" s="66" t="s">
        <v>445</v>
      </c>
      <c r="G116" s="61">
        <v>44118</v>
      </c>
      <c r="H116" s="54">
        <v>65000</v>
      </c>
      <c r="I116" s="19">
        <v>30</v>
      </c>
      <c r="J116" s="54">
        <f t="shared" si="30"/>
        <v>64999.999999999993</v>
      </c>
      <c r="K116" s="54"/>
      <c r="L116" s="55"/>
      <c r="M116" s="70">
        <f>20000-5000-5000-5000-5000+20000-5000-5000-5000-5000</f>
        <v>0</v>
      </c>
      <c r="N116" s="55"/>
      <c r="O116" s="190">
        <v>32500</v>
      </c>
      <c r="P116" s="80">
        <v>30</v>
      </c>
      <c r="Q116" s="71"/>
      <c r="R116" s="56"/>
      <c r="S116" s="72">
        <v>0</v>
      </c>
      <c r="T116" s="56">
        <f t="shared" si="31"/>
        <v>32499.999999999993</v>
      </c>
      <c r="U116" s="105"/>
      <c r="V116" s="66">
        <v>1010348753</v>
      </c>
      <c r="X116" s="25">
        <v>342710148</v>
      </c>
      <c r="AB116" s="2"/>
      <c r="AC116" s="2"/>
      <c r="AD116" s="2"/>
      <c r="AE116" s="2"/>
      <c r="AF116" s="2"/>
      <c r="AH116" s="2"/>
      <c r="AI116" s="2"/>
    </row>
    <row r="117" spans="1:35" s="68" customFormat="1" x14ac:dyDescent="0.25">
      <c r="A117" s="22">
        <f t="shared" si="32"/>
        <v>6</v>
      </c>
      <c r="B117" s="22" t="s">
        <v>446</v>
      </c>
      <c r="C117" s="69" t="s">
        <v>447</v>
      </c>
      <c r="D117" s="66" t="s">
        <v>166</v>
      </c>
      <c r="E117" s="66" t="s">
        <v>436</v>
      </c>
      <c r="F117" s="66" t="s">
        <v>448</v>
      </c>
      <c r="G117" s="61">
        <v>44368</v>
      </c>
      <c r="H117" s="54">
        <v>57500</v>
      </c>
      <c r="I117" s="19">
        <v>30</v>
      </c>
      <c r="J117" s="54">
        <f t="shared" si="30"/>
        <v>57500</v>
      </c>
      <c r="K117" s="54"/>
      <c r="L117" s="55"/>
      <c r="M117" s="70"/>
      <c r="N117" s="55"/>
      <c r="O117" s="190">
        <v>25000</v>
      </c>
      <c r="P117" s="80">
        <v>24</v>
      </c>
      <c r="Q117" s="71"/>
      <c r="R117" s="56"/>
      <c r="S117" s="72">
        <v>0</v>
      </c>
      <c r="T117" s="56">
        <f t="shared" si="31"/>
        <v>32500</v>
      </c>
      <c r="U117" s="105"/>
      <c r="V117" s="66">
        <v>1010349334</v>
      </c>
      <c r="X117" s="25">
        <v>2008000185</v>
      </c>
      <c r="AB117" s="2"/>
      <c r="AC117" s="2"/>
      <c r="AD117" s="2"/>
      <c r="AE117" s="2"/>
      <c r="AF117" s="2"/>
      <c r="AH117" s="2"/>
      <c r="AI117" s="2"/>
    </row>
    <row r="118" spans="1:35" s="68" customFormat="1" x14ac:dyDescent="0.25">
      <c r="A118" s="22">
        <f t="shared" si="32"/>
        <v>7</v>
      </c>
      <c r="B118" s="22" t="s">
        <v>449</v>
      </c>
      <c r="C118" s="69" t="s">
        <v>450</v>
      </c>
      <c r="D118" s="66" t="s">
        <v>451</v>
      </c>
      <c r="E118" s="66" t="s">
        <v>452</v>
      </c>
      <c r="F118" s="66" t="s">
        <v>453</v>
      </c>
      <c r="G118" s="61">
        <v>45481</v>
      </c>
      <c r="H118" s="54">
        <v>55000</v>
      </c>
      <c r="I118" s="19">
        <v>30</v>
      </c>
      <c r="J118" s="54">
        <f t="shared" si="30"/>
        <v>55000</v>
      </c>
      <c r="K118" s="54"/>
      <c r="L118" s="55"/>
      <c r="M118" s="70"/>
      <c r="N118" s="55"/>
      <c r="O118" s="191">
        <v>30000</v>
      </c>
      <c r="P118" s="91">
        <v>28</v>
      </c>
      <c r="Q118" s="71"/>
      <c r="R118" s="56"/>
      <c r="S118" s="72">
        <v>0</v>
      </c>
      <c r="T118" s="56">
        <f t="shared" si="31"/>
        <v>25000</v>
      </c>
      <c r="U118" s="118"/>
      <c r="V118" s="66">
        <v>1010348916</v>
      </c>
      <c r="X118" s="25">
        <v>342710094</v>
      </c>
      <c r="AB118" s="2"/>
      <c r="AC118" s="2"/>
      <c r="AD118" s="2"/>
      <c r="AE118" s="2"/>
      <c r="AF118" s="2"/>
      <c r="AH118" s="2"/>
      <c r="AI118" s="2"/>
    </row>
    <row r="119" spans="1:35" s="68" customFormat="1" ht="31.5" x14ac:dyDescent="0.25">
      <c r="A119" s="22">
        <f t="shared" si="32"/>
        <v>8</v>
      </c>
      <c r="B119" s="22" t="s">
        <v>454</v>
      </c>
      <c r="C119" s="69" t="s">
        <v>455</v>
      </c>
      <c r="D119" s="66" t="s">
        <v>456</v>
      </c>
      <c r="E119" s="66" t="s">
        <v>436</v>
      </c>
      <c r="F119" s="66" t="s">
        <v>457</v>
      </c>
      <c r="G119" s="61">
        <v>44599</v>
      </c>
      <c r="H119" s="54">
        <v>57500</v>
      </c>
      <c r="I119" s="19">
        <v>30</v>
      </c>
      <c r="J119" s="54">
        <f t="shared" si="30"/>
        <v>57500</v>
      </c>
      <c r="K119" s="54"/>
      <c r="L119" s="55"/>
      <c r="M119" s="70">
        <f>50000-5000-5000-5000-5000-5000-5000-5000-5000-5000-5000</f>
        <v>0</v>
      </c>
      <c r="N119" s="55"/>
      <c r="O119" s="191">
        <v>20000</v>
      </c>
      <c r="P119" s="91">
        <v>29</v>
      </c>
      <c r="Q119" s="71">
        <v>2213</v>
      </c>
      <c r="R119" s="56"/>
      <c r="S119" s="72">
        <v>0</v>
      </c>
      <c r="T119" s="56">
        <f t="shared" si="31"/>
        <v>35287</v>
      </c>
      <c r="U119" s="118"/>
      <c r="V119" s="66">
        <v>1010350329</v>
      </c>
      <c r="X119" s="25">
        <v>342710063</v>
      </c>
      <c r="AB119" s="2"/>
      <c r="AC119" s="2"/>
      <c r="AD119" s="2"/>
      <c r="AE119" s="2"/>
      <c r="AF119" s="2"/>
      <c r="AH119" s="2"/>
      <c r="AI119" s="2"/>
    </row>
    <row r="120" spans="1:35" s="68" customFormat="1" x14ac:dyDescent="0.25">
      <c r="A120" s="22">
        <f t="shared" si="32"/>
        <v>9</v>
      </c>
      <c r="B120" s="22" t="s">
        <v>458</v>
      </c>
      <c r="C120" s="119" t="s">
        <v>459</v>
      </c>
      <c r="D120" s="66" t="s">
        <v>460</v>
      </c>
      <c r="E120" s="66" t="s">
        <v>436</v>
      </c>
      <c r="F120" s="66" t="s">
        <v>461</v>
      </c>
      <c r="G120" s="61">
        <v>44634</v>
      </c>
      <c r="H120" s="54">
        <v>65000</v>
      </c>
      <c r="I120" s="19">
        <v>30</v>
      </c>
      <c r="J120" s="54">
        <f t="shared" si="30"/>
        <v>64999.999999999993</v>
      </c>
      <c r="K120" s="54"/>
      <c r="L120" s="55"/>
      <c r="M120" s="70">
        <f>50000-5000-5000-5000-5000-5000-5000-5000-5000-5000-5000</f>
        <v>0</v>
      </c>
      <c r="N120" s="55"/>
      <c r="O120" s="191">
        <v>35000</v>
      </c>
      <c r="P120" s="91">
        <v>23</v>
      </c>
      <c r="Q120" s="71">
        <v>1229</v>
      </c>
      <c r="R120" s="56"/>
      <c r="S120" s="72">
        <v>0</v>
      </c>
      <c r="T120" s="56">
        <f t="shared" si="31"/>
        <v>28770.999999999993</v>
      </c>
      <c r="U120" s="118"/>
      <c r="V120" s="66">
        <v>1010350627</v>
      </c>
      <c r="X120" s="25">
        <v>2007994969</v>
      </c>
      <c r="AB120" s="2"/>
      <c r="AC120" s="2"/>
      <c r="AD120" s="2"/>
      <c r="AE120" s="2"/>
      <c r="AF120" s="2"/>
      <c r="AH120" s="2"/>
      <c r="AI120" s="2"/>
    </row>
    <row r="121" spans="1:35" s="68" customFormat="1" x14ac:dyDescent="0.25">
      <c r="A121" s="22">
        <f t="shared" si="32"/>
        <v>10</v>
      </c>
      <c r="B121" s="22" t="s">
        <v>462</v>
      </c>
      <c r="C121" s="119" t="s">
        <v>463</v>
      </c>
      <c r="D121" s="66" t="s">
        <v>464</v>
      </c>
      <c r="E121" s="66" t="s">
        <v>436</v>
      </c>
      <c r="F121" s="66" t="s">
        <v>465</v>
      </c>
      <c r="G121" s="61">
        <v>44807</v>
      </c>
      <c r="H121" s="54">
        <v>55000</v>
      </c>
      <c r="I121" s="19">
        <v>30</v>
      </c>
      <c r="J121" s="54">
        <f t="shared" si="30"/>
        <v>55000</v>
      </c>
      <c r="K121" s="54"/>
      <c r="L121" s="55"/>
      <c r="M121" s="70">
        <f>25000-5000-5000-5000-5000-5000+7500-5000-2500</f>
        <v>0</v>
      </c>
      <c r="N121" s="55"/>
      <c r="O121" s="191">
        <v>25000</v>
      </c>
      <c r="P121" s="91">
        <v>33</v>
      </c>
      <c r="Q121" s="71"/>
      <c r="R121" s="56"/>
      <c r="S121" s="72">
        <v>0</v>
      </c>
      <c r="T121" s="56">
        <f t="shared" si="31"/>
        <v>30000</v>
      </c>
      <c r="U121" s="118"/>
      <c r="V121" s="66">
        <v>1010350908</v>
      </c>
      <c r="X121" s="25">
        <v>342710049</v>
      </c>
      <c r="AB121" s="2"/>
      <c r="AC121" s="2"/>
      <c r="AD121" s="2"/>
      <c r="AE121" s="2"/>
      <c r="AF121" s="2"/>
      <c r="AH121" s="2"/>
      <c r="AI121" s="2"/>
    </row>
    <row r="122" spans="1:35" s="68" customFormat="1" x14ac:dyDescent="0.25">
      <c r="A122" s="22">
        <f t="shared" si="32"/>
        <v>11</v>
      </c>
      <c r="B122" s="22" t="s">
        <v>466</v>
      </c>
      <c r="C122" s="69" t="s">
        <v>467</v>
      </c>
      <c r="D122" s="66" t="s">
        <v>126</v>
      </c>
      <c r="E122" s="66" t="s">
        <v>452</v>
      </c>
      <c r="F122" s="66" t="s">
        <v>468</v>
      </c>
      <c r="G122" s="61">
        <v>45708</v>
      </c>
      <c r="H122" s="54">
        <v>70000</v>
      </c>
      <c r="I122" s="19">
        <v>30</v>
      </c>
      <c r="J122" s="54">
        <f t="shared" si="30"/>
        <v>70000</v>
      </c>
      <c r="K122" s="54"/>
      <c r="L122" s="55"/>
      <c r="M122" s="70"/>
      <c r="N122" s="55"/>
      <c r="O122" s="191">
        <v>35000</v>
      </c>
      <c r="P122" s="91">
        <v>34</v>
      </c>
      <c r="Q122" s="71">
        <v>1019</v>
      </c>
      <c r="R122" s="56"/>
      <c r="S122" s="72">
        <v>200</v>
      </c>
      <c r="T122" s="56">
        <f t="shared" si="31"/>
        <v>33781</v>
      </c>
      <c r="U122" s="118"/>
      <c r="V122" s="66">
        <v>1010349072</v>
      </c>
      <c r="X122" s="25">
        <v>342710032</v>
      </c>
      <c r="AB122" s="2"/>
      <c r="AC122" s="2"/>
      <c r="AD122" s="2"/>
      <c r="AE122" s="2"/>
      <c r="AF122" s="2"/>
      <c r="AH122" s="2"/>
      <c r="AI122" s="2"/>
    </row>
    <row r="123" spans="1:35" s="68" customFormat="1" x14ac:dyDescent="0.25">
      <c r="A123" s="22">
        <f t="shared" si="32"/>
        <v>12</v>
      </c>
      <c r="B123" s="22" t="s">
        <v>469</v>
      </c>
      <c r="C123" s="69" t="s">
        <v>470</v>
      </c>
      <c r="D123" s="66" t="s">
        <v>471</v>
      </c>
      <c r="E123" s="66" t="s">
        <v>452</v>
      </c>
      <c r="F123" s="66" t="s">
        <v>472</v>
      </c>
      <c r="G123" s="61">
        <v>45239</v>
      </c>
      <c r="H123" s="54">
        <v>60000</v>
      </c>
      <c r="I123" s="19">
        <v>30</v>
      </c>
      <c r="J123" s="54">
        <f t="shared" si="30"/>
        <v>60000</v>
      </c>
      <c r="K123" s="54"/>
      <c r="L123" s="55"/>
      <c r="M123" s="70">
        <f>50000-5000-5000+10000-5000-5000-5000-5000-5000-5000-5000-5000</f>
        <v>10000</v>
      </c>
      <c r="N123" s="55">
        <v>5000</v>
      </c>
      <c r="O123" s="191">
        <v>25000</v>
      </c>
      <c r="P123" s="91">
        <v>25</v>
      </c>
      <c r="Q123" s="71">
        <v>9243</v>
      </c>
      <c r="R123" s="56"/>
      <c r="S123" s="72">
        <v>0</v>
      </c>
      <c r="T123" s="56">
        <f t="shared" si="31"/>
        <v>20757</v>
      </c>
      <c r="U123" s="118"/>
      <c r="V123" s="66">
        <v>1010350207</v>
      </c>
      <c r="X123" s="25">
        <v>342710025</v>
      </c>
      <c r="AB123" s="2"/>
      <c r="AC123" s="2"/>
      <c r="AD123" s="2"/>
      <c r="AE123" s="2"/>
      <c r="AF123" s="2"/>
      <c r="AH123" s="2"/>
      <c r="AI123" s="2"/>
    </row>
    <row r="124" spans="1:35" s="68" customFormat="1" x14ac:dyDescent="0.25">
      <c r="A124" s="22">
        <f t="shared" si="32"/>
        <v>13</v>
      </c>
      <c r="B124" s="22" t="s">
        <v>473</v>
      </c>
      <c r="C124" s="69" t="s">
        <v>474</v>
      </c>
      <c r="D124" s="66" t="s">
        <v>475</v>
      </c>
      <c r="E124" s="66" t="s">
        <v>452</v>
      </c>
      <c r="F124" s="66" t="s">
        <v>476</v>
      </c>
      <c r="G124" s="61">
        <v>45968</v>
      </c>
      <c r="H124" s="54">
        <v>50000</v>
      </c>
      <c r="I124" s="19">
        <v>30</v>
      </c>
      <c r="J124" s="54">
        <f t="shared" si="30"/>
        <v>50000</v>
      </c>
      <c r="K124" s="54"/>
      <c r="L124" s="55"/>
      <c r="M124" s="70"/>
      <c r="N124" s="55"/>
      <c r="O124" s="191"/>
      <c r="P124" s="94"/>
      <c r="Q124" s="71"/>
      <c r="R124" s="56"/>
      <c r="S124" s="72">
        <v>0</v>
      </c>
      <c r="T124" s="56">
        <f t="shared" si="31"/>
        <v>50000</v>
      </c>
      <c r="U124" s="118"/>
      <c r="V124" s="66"/>
      <c r="X124" s="25">
        <v>343405333</v>
      </c>
      <c r="AB124" s="2"/>
      <c r="AC124" s="2"/>
      <c r="AD124" s="2"/>
      <c r="AE124" s="2"/>
      <c r="AF124" s="2"/>
      <c r="AH124" s="2"/>
      <c r="AI124" s="2"/>
    </row>
    <row r="125" spans="1:35" s="68" customFormat="1" x14ac:dyDescent="0.25">
      <c r="A125" s="22">
        <f t="shared" si="32"/>
        <v>14</v>
      </c>
      <c r="B125" s="22" t="s">
        <v>477</v>
      </c>
      <c r="C125" s="69" t="s">
        <v>478</v>
      </c>
      <c r="D125" s="66" t="s">
        <v>435</v>
      </c>
      <c r="E125" s="66" t="s">
        <v>479</v>
      </c>
      <c r="F125" s="66" t="s">
        <v>480</v>
      </c>
      <c r="G125" s="61">
        <v>45308</v>
      </c>
      <c r="H125" s="54">
        <v>55000</v>
      </c>
      <c r="I125" s="19">
        <v>30</v>
      </c>
      <c r="J125" s="54">
        <f t="shared" si="30"/>
        <v>55000</v>
      </c>
      <c r="K125" s="54"/>
      <c r="L125" s="55"/>
      <c r="M125" s="70"/>
      <c r="N125" s="120"/>
      <c r="O125" s="191">
        <v>25000</v>
      </c>
      <c r="P125" s="91">
        <v>31</v>
      </c>
      <c r="Q125" s="71"/>
      <c r="R125" s="56"/>
      <c r="S125" s="72">
        <v>0</v>
      </c>
      <c r="T125" s="56">
        <f t="shared" si="31"/>
        <v>30000</v>
      </c>
      <c r="U125" s="118"/>
      <c r="V125" s="66">
        <v>1010355252</v>
      </c>
      <c r="X125" s="25">
        <v>342710018</v>
      </c>
      <c r="AB125" s="2"/>
      <c r="AC125" s="2"/>
      <c r="AD125" s="2"/>
      <c r="AE125" s="2"/>
      <c r="AF125" s="2"/>
      <c r="AH125" s="2"/>
      <c r="AI125" s="2"/>
    </row>
    <row r="126" spans="1:35" s="68" customFormat="1" x14ac:dyDescent="0.25">
      <c r="A126" s="22">
        <f t="shared" si="32"/>
        <v>15</v>
      </c>
      <c r="B126" s="22" t="s">
        <v>481</v>
      </c>
      <c r="C126" s="69" t="s">
        <v>482</v>
      </c>
      <c r="D126" s="66" t="s">
        <v>483</v>
      </c>
      <c r="E126" s="66" t="s">
        <v>484</v>
      </c>
      <c r="F126" s="66" t="s">
        <v>485</v>
      </c>
      <c r="G126" s="61">
        <v>44692</v>
      </c>
      <c r="H126" s="54">
        <v>47000</v>
      </c>
      <c r="I126" s="19">
        <v>30</v>
      </c>
      <c r="J126" s="54">
        <f t="shared" si="30"/>
        <v>47000</v>
      </c>
      <c r="K126" s="54"/>
      <c r="L126" s="55"/>
      <c r="M126" s="70"/>
      <c r="N126" s="55"/>
      <c r="O126" s="191">
        <f>47000/2</f>
        <v>23500</v>
      </c>
      <c r="P126" s="91">
        <v>32</v>
      </c>
      <c r="Q126" s="71">
        <f>429+1006</f>
        <v>1435</v>
      </c>
      <c r="R126" s="56"/>
      <c r="S126" s="72">
        <v>0</v>
      </c>
      <c r="T126" s="56">
        <f t="shared" si="31"/>
        <v>22065</v>
      </c>
      <c r="U126" s="118"/>
      <c r="V126" s="66">
        <v>1010346619</v>
      </c>
      <c r="X126" s="25">
        <v>342710001</v>
      </c>
      <c r="AB126" s="2"/>
      <c r="AC126" s="2"/>
      <c r="AD126" s="2"/>
      <c r="AE126" s="2"/>
      <c r="AF126" s="2"/>
      <c r="AH126" s="2"/>
      <c r="AI126" s="2"/>
    </row>
    <row r="127" spans="1:35" s="68" customFormat="1" x14ac:dyDescent="0.25">
      <c r="A127" s="22">
        <f t="shared" si="32"/>
        <v>16</v>
      </c>
      <c r="B127" s="22" t="s">
        <v>486</v>
      </c>
      <c r="C127" s="69" t="s">
        <v>487</v>
      </c>
      <c r="D127" s="66" t="s">
        <v>488</v>
      </c>
      <c r="E127" s="66" t="s">
        <v>484</v>
      </c>
      <c r="F127" s="66" t="s">
        <v>489</v>
      </c>
      <c r="G127" s="61">
        <v>45253</v>
      </c>
      <c r="H127" s="54">
        <v>40000</v>
      </c>
      <c r="I127" s="19">
        <v>30</v>
      </c>
      <c r="J127" s="54">
        <f t="shared" si="30"/>
        <v>40000</v>
      </c>
      <c r="K127" s="54"/>
      <c r="L127" s="55"/>
      <c r="M127" s="70"/>
      <c r="N127" s="55"/>
      <c r="O127" s="191">
        <v>20000</v>
      </c>
      <c r="P127" s="91">
        <v>26</v>
      </c>
      <c r="Q127" s="71">
        <v>1470</v>
      </c>
      <c r="R127" s="56"/>
      <c r="S127" s="72">
        <v>0</v>
      </c>
      <c r="T127" s="56">
        <f t="shared" si="31"/>
        <v>18530</v>
      </c>
      <c r="U127" s="118"/>
      <c r="V127" s="66">
        <v>1010350515</v>
      </c>
      <c r="X127" s="25">
        <v>342709995</v>
      </c>
      <c r="AB127" s="2"/>
      <c r="AC127" s="2"/>
      <c r="AD127" s="2"/>
      <c r="AE127" s="2"/>
      <c r="AF127" s="2"/>
      <c r="AH127" s="2"/>
      <c r="AI127" s="2"/>
    </row>
    <row r="128" spans="1:35" s="68" customFormat="1" ht="31.5" x14ac:dyDescent="0.25">
      <c r="A128" s="22">
        <f t="shared" si="32"/>
        <v>17</v>
      </c>
      <c r="B128" s="22"/>
      <c r="C128" s="69" t="s">
        <v>490</v>
      </c>
      <c r="D128" s="66" t="s">
        <v>491</v>
      </c>
      <c r="E128" s="66" t="s">
        <v>492</v>
      </c>
      <c r="F128" s="66" t="s">
        <v>493</v>
      </c>
      <c r="G128" s="121">
        <v>46281</v>
      </c>
      <c r="H128" s="122">
        <v>20000</v>
      </c>
      <c r="I128" s="123">
        <f>30-15</f>
        <v>15</v>
      </c>
      <c r="J128" s="54">
        <f t="shared" si="30"/>
        <v>10000</v>
      </c>
      <c r="K128" s="54"/>
      <c r="L128" s="55"/>
      <c r="M128" s="70"/>
      <c r="N128" s="120"/>
      <c r="O128" s="191"/>
      <c r="P128" s="94"/>
      <c r="Q128" s="71"/>
      <c r="R128" s="56"/>
      <c r="S128" s="72"/>
      <c r="T128" s="56">
        <f t="shared" si="31"/>
        <v>10000</v>
      </c>
      <c r="U128" s="118"/>
      <c r="V128" s="66"/>
      <c r="X128" s="25"/>
      <c r="AB128" s="2"/>
      <c r="AC128" s="2"/>
      <c r="AD128" s="2"/>
      <c r="AE128" s="2"/>
      <c r="AF128" s="2"/>
      <c r="AH128" s="2"/>
      <c r="AI128" s="2"/>
    </row>
    <row r="129" spans="1:35" x14ac:dyDescent="0.25">
      <c r="A129" s="22">
        <f t="shared" si="32"/>
        <v>18</v>
      </c>
      <c r="B129" s="22" t="s">
        <v>494</v>
      </c>
      <c r="C129" s="59" t="s">
        <v>495</v>
      </c>
      <c r="D129" s="60" t="s">
        <v>496</v>
      </c>
      <c r="E129" s="66" t="s">
        <v>484</v>
      </c>
      <c r="F129" s="25" t="s">
        <v>497</v>
      </c>
      <c r="G129" s="61">
        <v>45597</v>
      </c>
      <c r="H129" s="54">
        <f>35000+10000</f>
        <v>45000</v>
      </c>
      <c r="I129" s="19">
        <v>30</v>
      </c>
      <c r="J129" s="54">
        <f t="shared" si="30"/>
        <v>45000</v>
      </c>
      <c r="K129" s="54"/>
      <c r="L129" s="103"/>
      <c r="M129" s="70"/>
      <c r="N129" s="120"/>
      <c r="O129" s="191">
        <v>25000</v>
      </c>
      <c r="P129" s="91">
        <v>27</v>
      </c>
      <c r="Q129" s="71"/>
      <c r="R129" s="56"/>
      <c r="S129" s="57">
        <v>0</v>
      </c>
      <c r="T129" s="56">
        <f t="shared" si="31"/>
        <v>20000</v>
      </c>
      <c r="U129" s="87"/>
      <c r="V129" s="25">
        <v>1010463823</v>
      </c>
      <c r="X129" s="25">
        <v>342709988</v>
      </c>
      <c r="AA129" s="2" t="s">
        <v>498</v>
      </c>
    </row>
    <row r="130" spans="1:35" s="68" customFormat="1" x14ac:dyDescent="0.25">
      <c r="A130" s="22">
        <f t="shared" si="32"/>
        <v>19</v>
      </c>
      <c r="B130" s="22" t="s">
        <v>499</v>
      </c>
      <c r="C130" s="69" t="s">
        <v>500</v>
      </c>
      <c r="D130" s="66" t="s">
        <v>501</v>
      </c>
      <c r="E130" s="66" t="s">
        <v>502</v>
      </c>
      <c r="F130" s="66" t="s">
        <v>503</v>
      </c>
      <c r="G130" s="61">
        <v>44882</v>
      </c>
      <c r="H130" s="54">
        <v>55000</v>
      </c>
      <c r="I130" s="19">
        <v>30</v>
      </c>
      <c r="J130" s="54">
        <f t="shared" si="30"/>
        <v>55000</v>
      </c>
      <c r="K130" s="54"/>
      <c r="L130" s="55"/>
      <c r="M130" s="70"/>
      <c r="N130" s="55"/>
      <c r="O130" s="191">
        <v>25000</v>
      </c>
      <c r="P130" s="91">
        <v>21</v>
      </c>
      <c r="Q130" s="71"/>
      <c r="R130" s="56"/>
      <c r="S130" s="72">
        <v>0</v>
      </c>
      <c r="T130" s="56">
        <f t="shared" si="31"/>
        <v>30000</v>
      </c>
      <c r="U130" s="118"/>
      <c r="V130" s="66">
        <v>1010356107</v>
      </c>
      <c r="X130" s="25">
        <v>342709971</v>
      </c>
      <c r="AB130" s="2"/>
      <c r="AC130" s="2"/>
      <c r="AD130" s="2"/>
      <c r="AE130" s="2"/>
      <c r="AF130" s="2"/>
      <c r="AH130" s="2"/>
      <c r="AI130" s="2"/>
    </row>
    <row r="131" spans="1:35" s="68" customFormat="1" x14ac:dyDescent="0.25">
      <c r="A131" s="22">
        <f t="shared" si="32"/>
        <v>20</v>
      </c>
      <c r="B131" s="22"/>
      <c r="C131" s="69" t="s">
        <v>504</v>
      </c>
      <c r="D131" s="66" t="s">
        <v>505</v>
      </c>
      <c r="E131" s="66" t="s">
        <v>506</v>
      </c>
      <c r="F131" s="66" t="s">
        <v>507</v>
      </c>
      <c r="G131" s="61">
        <v>46153</v>
      </c>
      <c r="H131" s="54">
        <v>50000</v>
      </c>
      <c r="I131" s="19">
        <v>30</v>
      </c>
      <c r="J131" s="54">
        <f t="shared" si="30"/>
        <v>50000</v>
      </c>
      <c r="K131" s="54"/>
      <c r="L131" s="55"/>
      <c r="M131" s="70"/>
      <c r="N131" s="120"/>
      <c r="O131" s="191"/>
      <c r="P131" s="94"/>
      <c r="Q131" s="71"/>
      <c r="R131" s="56"/>
      <c r="S131" s="72"/>
      <c r="T131" s="56">
        <f t="shared" si="31"/>
        <v>50000</v>
      </c>
      <c r="U131" s="118"/>
      <c r="V131" s="66"/>
      <c r="W131" s="124" t="s">
        <v>508</v>
      </c>
      <c r="X131" s="25"/>
      <c r="AB131" s="2"/>
      <c r="AC131" s="2"/>
      <c r="AD131" s="2"/>
      <c r="AE131" s="2"/>
      <c r="AF131" s="2"/>
      <c r="AH131" s="2"/>
      <c r="AI131" s="2"/>
    </row>
    <row r="132" spans="1:35" s="68" customFormat="1" x14ac:dyDescent="0.25">
      <c r="A132" s="22">
        <f t="shared" si="32"/>
        <v>21</v>
      </c>
      <c r="B132" s="22" t="s">
        <v>509</v>
      </c>
      <c r="C132" s="69" t="s">
        <v>510</v>
      </c>
      <c r="D132" s="66" t="s">
        <v>511</v>
      </c>
      <c r="E132" s="66" t="s">
        <v>506</v>
      </c>
      <c r="F132" s="66" t="s">
        <v>512</v>
      </c>
      <c r="G132" s="61">
        <v>45223</v>
      </c>
      <c r="H132" s="54">
        <v>55000</v>
      </c>
      <c r="I132" s="19">
        <v>30</v>
      </c>
      <c r="J132" s="54">
        <f t="shared" si="30"/>
        <v>55000</v>
      </c>
      <c r="K132" s="54"/>
      <c r="L132" s="55"/>
      <c r="M132" s="70"/>
      <c r="N132" s="120"/>
      <c r="O132" s="191"/>
      <c r="P132" s="94"/>
      <c r="Q132" s="71">
        <v>140</v>
      </c>
      <c r="R132" s="56"/>
      <c r="S132" s="72">
        <v>0</v>
      </c>
      <c r="T132" s="56">
        <f t="shared" si="31"/>
        <v>54860</v>
      </c>
      <c r="U132" s="118"/>
      <c r="V132" s="66">
        <v>1008838312</v>
      </c>
      <c r="X132" s="25">
        <v>342709964</v>
      </c>
      <c r="AB132" s="2"/>
      <c r="AC132" s="2"/>
      <c r="AD132" s="2"/>
      <c r="AE132" s="2"/>
      <c r="AF132" s="2"/>
      <c r="AH132" s="2"/>
      <c r="AI132" s="2"/>
    </row>
    <row r="133" spans="1:35" s="68" customFormat="1" ht="31.5" x14ac:dyDescent="0.25">
      <c r="A133" s="22">
        <f t="shared" si="32"/>
        <v>22</v>
      </c>
      <c r="B133" s="22" t="s">
        <v>513</v>
      </c>
      <c r="C133" s="59" t="s">
        <v>514</v>
      </c>
      <c r="D133" s="60" t="s">
        <v>515</v>
      </c>
      <c r="E133" s="66" t="s">
        <v>516</v>
      </c>
      <c r="F133" s="66" t="s">
        <v>517</v>
      </c>
      <c r="G133" s="61">
        <v>44166</v>
      </c>
      <c r="H133" s="54">
        <v>55000</v>
      </c>
      <c r="I133" s="19">
        <v>30</v>
      </c>
      <c r="J133" s="54">
        <f t="shared" si="30"/>
        <v>55000</v>
      </c>
      <c r="K133" s="54"/>
      <c r="L133" s="55"/>
      <c r="M133" s="70">
        <f>30000-5000-5000-5000-5000-5000-5000</f>
        <v>0</v>
      </c>
      <c r="N133" s="120"/>
      <c r="O133" s="190"/>
      <c r="P133" s="79"/>
      <c r="Q133" s="71"/>
      <c r="R133" s="56"/>
      <c r="S133" s="72">
        <v>0</v>
      </c>
      <c r="T133" s="56">
        <f t="shared" si="31"/>
        <v>55000</v>
      </c>
      <c r="U133" s="102"/>
      <c r="V133" s="66">
        <v>1010348995</v>
      </c>
      <c r="X133" s="25">
        <v>342709933</v>
      </c>
      <c r="AB133" s="2"/>
      <c r="AC133" s="2"/>
      <c r="AD133" s="2"/>
      <c r="AE133" s="2"/>
      <c r="AF133" s="2"/>
      <c r="AH133" s="2"/>
      <c r="AI133" s="2"/>
    </row>
    <row r="134" spans="1:35" ht="16.5" thickBot="1" x14ac:dyDescent="0.3">
      <c r="B134" s="22"/>
      <c r="D134" s="39"/>
      <c r="E134" s="40"/>
      <c r="F134" s="40"/>
      <c r="G134" s="41"/>
      <c r="H134" s="42">
        <f>SUM(H112:H133)</f>
        <v>1262000</v>
      </c>
      <c r="I134" s="41"/>
      <c r="J134" s="42">
        <f t="shared" ref="J134:S134" si="33">SUM(J112:J133)</f>
        <v>1252000</v>
      </c>
      <c r="K134" s="42">
        <f t="shared" si="33"/>
        <v>2500</v>
      </c>
      <c r="L134" s="42">
        <f t="shared" si="33"/>
        <v>0</v>
      </c>
      <c r="M134" s="42">
        <f t="shared" si="33"/>
        <v>40000</v>
      </c>
      <c r="N134" s="42">
        <f t="shared" si="33"/>
        <v>15000</v>
      </c>
      <c r="O134" s="186">
        <f t="shared" si="33"/>
        <v>446000</v>
      </c>
      <c r="P134" s="42"/>
      <c r="Q134" s="42">
        <f t="shared" si="33"/>
        <v>24955</v>
      </c>
      <c r="R134" s="42">
        <f t="shared" si="33"/>
        <v>0</v>
      </c>
      <c r="S134" s="42">
        <f t="shared" si="33"/>
        <v>950</v>
      </c>
      <c r="T134" s="42">
        <f>SUM(T112:T133)</f>
        <v>767595</v>
      </c>
      <c r="U134" s="42">
        <f>SUM(U112:U133)</f>
        <v>0</v>
      </c>
      <c r="V134" s="40"/>
      <c r="X134" s="25"/>
    </row>
    <row r="135" spans="1:35" ht="16.5" thickTop="1" x14ac:dyDescent="0.25">
      <c r="A135" s="16" t="s">
        <v>518</v>
      </c>
      <c r="B135" s="22"/>
      <c r="C135" s="17"/>
      <c r="D135" s="18"/>
      <c r="E135" s="18"/>
      <c r="F135" s="17"/>
      <c r="G135" s="17"/>
      <c r="H135" s="17"/>
      <c r="I135" s="19"/>
      <c r="J135" s="17"/>
      <c r="K135" s="17"/>
      <c r="L135" s="17"/>
      <c r="M135" s="17"/>
      <c r="N135" s="17"/>
      <c r="O135" s="184"/>
      <c r="P135" s="17"/>
      <c r="Q135" s="17"/>
      <c r="R135" s="20"/>
      <c r="S135" s="21"/>
      <c r="T135" s="20"/>
      <c r="U135" s="17"/>
      <c r="V135" s="17"/>
      <c r="X135" s="25"/>
    </row>
    <row r="136" spans="1:35" s="68" customFormat="1" x14ac:dyDescent="0.25">
      <c r="A136" s="22">
        <v>1</v>
      </c>
      <c r="B136" s="22" t="s">
        <v>519</v>
      </c>
      <c r="C136" s="69" t="s">
        <v>520</v>
      </c>
      <c r="D136" s="66" t="s">
        <v>521</v>
      </c>
      <c r="E136" s="125" t="s">
        <v>522</v>
      </c>
      <c r="F136" s="66" t="s">
        <v>523</v>
      </c>
      <c r="G136" s="61">
        <v>45435</v>
      </c>
      <c r="H136" s="54">
        <f>150000+25000+50000</f>
        <v>225000</v>
      </c>
      <c r="I136" s="126">
        <v>30</v>
      </c>
      <c r="J136" s="127">
        <f t="shared" ref="J136:J146" si="34">H136/30*I136</f>
        <v>225000</v>
      </c>
      <c r="K136" s="54"/>
      <c r="L136" s="55"/>
      <c r="M136" s="70">
        <f>112500-30000-30000-30000-22500</f>
        <v>0</v>
      </c>
      <c r="N136" s="55">
        <v>22500</v>
      </c>
      <c r="O136" s="190">
        <v>112500</v>
      </c>
      <c r="P136" s="80">
        <v>41</v>
      </c>
      <c r="Q136" s="71"/>
      <c r="R136" s="32"/>
      <c r="S136" s="72">
        <v>6000</v>
      </c>
      <c r="T136" s="56">
        <f t="shared" ref="T136:T146" si="35">J136+K136+0+L136-N136-O136-Q136-R136-S136</f>
        <v>84000</v>
      </c>
      <c r="U136" s="102"/>
      <c r="V136" s="66"/>
      <c r="X136" s="25">
        <v>342709896</v>
      </c>
      <c r="AB136" s="2"/>
      <c r="AC136" s="2"/>
      <c r="AD136" s="2"/>
      <c r="AE136" s="2"/>
      <c r="AF136" s="2"/>
      <c r="AH136" s="2"/>
      <c r="AI136" s="2"/>
    </row>
    <row r="137" spans="1:35" s="68" customFormat="1" ht="31.5" x14ac:dyDescent="0.25">
      <c r="A137" s="22">
        <f t="shared" ref="A137:A146" si="36">1+A136</f>
        <v>2</v>
      </c>
      <c r="B137" s="22" t="s">
        <v>524</v>
      </c>
      <c r="C137" s="69" t="s">
        <v>525</v>
      </c>
      <c r="D137" s="66" t="s">
        <v>440</v>
      </c>
      <c r="E137" s="66" t="s">
        <v>526</v>
      </c>
      <c r="F137" s="66" t="s">
        <v>527</v>
      </c>
      <c r="G137" s="61">
        <v>45985</v>
      </c>
      <c r="H137" s="54">
        <v>130000</v>
      </c>
      <c r="I137" s="126">
        <v>30</v>
      </c>
      <c r="J137" s="127">
        <f t="shared" si="34"/>
        <v>129999.99999999999</v>
      </c>
      <c r="K137" s="54"/>
      <c r="L137" s="55"/>
      <c r="M137" s="70">
        <f>40000-5000-5000-5000-5000-5000-5000-5000-5000</f>
        <v>0</v>
      </c>
      <c r="N137" s="55">
        <v>5000</v>
      </c>
      <c r="O137" s="190">
        <v>20000</v>
      </c>
      <c r="P137" s="80">
        <v>36</v>
      </c>
      <c r="Q137" s="71"/>
      <c r="R137" s="56"/>
      <c r="S137" s="72">
        <v>1600</v>
      </c>
      <c r="T137" s="56">
        <f t="shared" si="35"/>
        <v>103399.99999999999</v>
      </c>
      <c r="U137" s="102"/>
      <c r="V137" s="66"/>
      <c r="X137" s="25">
        <v>343491815</v>
      </c>
      <c r="AB137" s="2"/>
      <c r="AC137" s="2"/>
      <c r="AD137" s="2"/>
      <c r="AE137" s="2"/>
      <c r="AF137" s="2"/>
      <c r="AH137" s="2"/>
      <c r="AI137" s="2"/>
    </row>
    <row r="138" spans="1:35" s="68" customFormat="1" x14ac:dyDescent="0.25">
      <c r="A138" s="22">
        <f t="shared" si="36"/>
        <v>3</v>
      </c>
      <c r="B138" s="22" t="s">
        <v>528</v>
      </c>
      <c r="C138" s="69" t="s">
        <v>529</v>
      </c>
      <c r="D138" s="66" t="s">
        <v>530</v>
      </c>
      <c r="E138" s="66" t="s">
        <v>531</v>
      </c>
      <c r="F138" s="66" t="s">
        <v>532</v>
      </c>
      <c r="G138" s="61">
        <v>44235</v>
      </c>
      <c r="H138" s="54">
        <f>115000+25000+35000+25000</f>
        <v>200000</v>
      </c>
      <c r="I138" s="126">
        <v>30</v>
      </c>
      <c r="J138" s="127">
        <f t="shared" si="34"/>
        <v>200000</v>
      </c>
      <c r="K138" s="54"/>
      <c r="L138" s="55"/>
      <c r="M138" s="70">
        <f>100000-25000-25000-25000-25000</f>
        <v>0</v>
      </c>
      <c r="N138" s="55"/>
      <c r="O138" s="190"/>
      <c r="P138" s="79"/>
      <c r="Q138" s="71"/>
      <c r="R138" s="56"/>
      <c r="S138" s="72">
        <v>6000</v>
      </c>
      <c r="T138" s="56">
        <f t="shared" si="35"/>
        <v>194000</v>
      </c>
      <c r="U138" s="102"/>
      <c r="V138" s="66">
        <v>1010407537</v>
      </c>
      <c r="X138" s="25">
        <v>342709926</v>
      </c>
      <c r="AB138" s="2"/>
      <c r="AC138" s="2"/>
      <c r="AD138" s="2"/>
      <c r="AE138" s="2"/>
      <c r="AF138" s="2"/>
      <c r="AH138" s="2"/>
      <c r="AI138" s="2"/>
    </row>
    <row r="139" spans="1:35" s="68" customFormat="1" x14ac:dyDescent="0.25">
      <c r="A139" s="22">
        <f t="shared" si="36"/>
        <v>4</v>
      </c>
      <c r="B139" s="22" t="s">
        <v>533</v>
      </c>
      <c r="C139" s="69" t="s">
        <v>534</v>
      </c>
      <c r="D139" s="66" t="s">
        <v>535</v>
      </c>
      <c r="E139" s="66" t="s">
        <v>536</v>
      </c>
      <c r="F139" s="66" t="s">
        <v>537</v>
      </c>
      <c r="G139" s="61">
        <v>45153</v>
      </c>
      <c r="H139" s="54">
        <f>150000+10000</f>
        <v>160000</v>
      </c>
      <c r="I139" s="126">
        <v>30</v>
      </c>
      <c r="J139" s="127">
        <f t="shared" si="34"/>
        <v>160000</v>
      </c>
      <c r="K139" s="54"/>
      <c r="L139" s="55"/>
      <c r="M139" s="70"/>
      <c r="N139" s="55"/>
      <c r="O139" s="190"/>
      <c r="P139" s="79"/>
      <c r="Q139" s="71"/>
      <c r="R139" s="56"/>
      <c r="S139" s="72">
        <v>6000</v>
      </c>
      <c r="T139" s="56">
        <f t="shared" si="35"/>
        <v>154000</v>
      </c>
      <c r="U139" s="102"/>
      <c r="V139" s="66">
        <v>1010350231</v>
      </c>
      <c r="X139" s="25">
        <v>342709902</v>
      </c>
      <c r="Y139" s="128"/>
      <c r="AB139" s="2"/>
      <c r="AC139" s="2"/>
      <c r="AD139" s="2"/>
      <c r="AE139" s="2"/>
      <c r="AF139" s="2"/>
      <c r="AH139" s="2"/>
      <c r="AI139" s="2"/>
    </row>
    <row r="140" spans="1:35" s="68" customFormat="1" ht="31.5" x14ac:dyDescent="0.25">
      <c r="A140" s="22">
        <f t="shared" si="36"/>
        <v>5</v>
      </c>
      <c r="B140" s="22">
        <v>7522</v>
      </c>
      <c r="C140" s="69" t="s">
        <v>538</v>
      </c>
      <c r="D140" s="66" t="s">
        <v>539</v>
      </c>
      <c r="E140" s="66" t="s">
        <v>285</v>
      </c>
      <c r="F140" s="66" t="s">
        <v>540</v>
      </c>
      <c r="G140" s="61">
        <v>46216</v>
      </c>
      <c r="H140" s="54">
        <v>70000</v>
      </c>
      <c r="I140" s="126">
        <v>30</v>
      </c>
      <c r="J140" s="127">
        <f t="shared" si="34"/>
        <v>70000</v>
      </c>
      <c r="K140" s="54"/>
      <c r="L140" s="55"/>
      <c r="M140" s="70"/>
      <c r="N140" s="55"/>
      <c r="O140" s="191">
        <v>15000</v>
      </c>
      <c r="P140" s="91">
        <v>40</v>
      </c>
      <c r="Q140" s="71">
        <v>4497</v>
      </c>
      <c r="R140" s="32"/>
      <c r="S140" s="72">
        <v>200</v>
      </c>
      <c r="T140" s="56">
        <f t="shared" si="35"/>
        <v>50303</v>
      </c>
      <c r="U140" s="102"/>
      <c r="V140" s="66"/>
      <c r="W140" s="129" t="s">
        <v>541</v>
      </c>
      <c r="X140" s="25"/>
      <c r="Y140" s="128"/>
      <c r="AB140" s="2"/>
      <c r="AC140" s="2"/>
      <c r="AD140" s="2"/>
      <c r="AE140" s="2"/>
      <c r="AF140" s="2"/>
      <c r="AH140" s="2"/>
      <c r="AI140" s="2"/>
    </row>
    <row r="141" spans="1:35" s="68" customFormat="1" ht="31.5" x14ac:dyDescent="0.25">
      <c r="A141" s="22">
        <f t="shared" si="36"/>
        <v>6</v>
      </c>
      <c r="B141" s="22" t="s">
        <v>542</v>
      </c>
      <c r="C141" s="69" t="s">
        <v>543</v>
      </c>
      <c r="D141" s="66" t="s">
        <v>544</v>
      </c>
      <c r="E141" s="89" t="s">
        <v>545</v>
      </c>
      <c r="F141" s="89" t="s">
        <v>546</v>
      </c>
      <c r="G141" s="61">
        <v>44770</v>
      </c>
      <c r="H141" s="54">
        <v>60000</v>
      </c>
      <c r="I141" s="126">
        <v>30</v>
      </c>
      <c r="J141" s="127">
        <f t="shared" si="34"/>
        <v>60000</v>
      </c>
      <c r="K141" s="54"/>
      <c r="L141" s="55"/>
      <c r="M141" s="70"/>
      <c r="N141" s="55"/>
      <c r="O141" s="191"/>
      <c r="P141" s="94"/>
      <c r="Q141" s="71"/>
      <c r="R141" s="32"/>
      <c r="S141" s="72">
        <v>0</v>
      </c>
      <c r="T141" s="56">
        <f t="shared" si="35"/>
        <v>60000</v>
      </c>
      <c r="U141" s="102"/>
      <c r="V141" s="66">
        <v>1010348899</v>
      </c>
      <c r="X141" s="25">
        <v>342709889</v>
      </c>
      <c r="AB141" s="2"/>
      <c r="AC141" s="2"/>
      <c r="AD141" s="2"/>
      <c r="AE141" s="2"/>
      <c r="AF141" s="2"/>
      <c r="AH141" s="2"/>
      <c r="AI141" s="2"/>
    </row>
    <row r="142" spans="1:35" s="68" customFormat="1" x14ac:dyDescent="0.25">
      <c r="A142" s="22">
        <f t="shared" si="36"/>
        <v>7</v>
      </c>
      <c r="B142" s="22" t="s">
        <v>547</v>
      </c>
      <c r="C142" s="93" t="s">
        <v>548</v>
      </c>
      <c r="D142" s="66" t="s">
        <v>549</v>
      </c>
      <c r="E142" s="89" t="s">
        <v>285</v>
      </c>
      <c r="F142" s="89" t="s">
        <v>550</v>
      </c>
      <c r="G142" s="61">
        <v>46041</v>
      </c>
      <c r="H142" s="54">
        <v>65000</v>
      </c>
      <c r="I142" s="126">
        <v>30</v>
      </c>
      <c r="J142" s="127">
        <f t="shared" si="34"/>
        <v>64999.999999999993</v>
      </c>
      <c r="K142" s="54"/>
      <c r="L142" s="55"/>
      <c r="M142" s="54"/>
      <c r="N142" s="55"/>
      <c r="O142" s="191">
        <v>20000</v>
      </c>
      <c r="P142" s="91">
        <v>37</v>
      </c>
      <c r="Q142" s="54">
        <v>1495</v>
      </c>
      <c r="R142" s="32"/>
      <c r="S142" s="96">
        <v>0</v>
      </c>
      <c r="T142" s="56">
        <f t="shared" si="35"/>
        <v>43504.999999999993</v>
      </c>
      <c r="U142" s="102"/>
      <c r="V142" s="89"/>
      <c r="W142" s="97"/>
      <c r="X142" s="25"/>
      <c r="AB142" s="2"/>
      <c r="AC142" s="2"/>
      <c r="AD142" s="2"/>
      <c r="AE142" s="2"/>
      <c r="AF142" s="2"/>
      <c r="AH142" s="2"/>
      <c r="AI142" s="2"/>
    </row>
    <row r="143" spans="1:35" s="68" customFormat="1" x14ac:dyDescent="0.25">
      <c r="A143" s="22">
        <f t="shared" si="36"/>
        <v>8</v>
      </c>
      <c r="B143" s="22" t="s">
        <v>551</v>
      </c>
      <c r="C143" s="69" t="s">
        <v>552</v>
      </c>
      <c r="D143" s="66" t="s">
        <v>553</v>
      </c>
      <c r="E143" s="89" t="s">
        <v>554</v>
      </c>
      <c r="F143" s="89" t="s">
        <v>555</v>
      </c>
      <c r="G143" s="61">
        <v>44531</v>
      </c>
      <c r="H143" s="54">
        <v>85000</v>
      </c>
      <c r="I143" s="126">
        <v>30</v>
      </c>
      <c r="J143" s="127">
        <f t="shared" si="34"/>
        <v>85000</v>
      </c>
      <c r="K143" s="54"/>
      <c r="L143" s="55"/>
      <c r="M143" s="70">
        <f>85000+2299-2299-5000-5000-5000-5000-5000-5000-5000-5000-5000-5000-5000-5000-5000-5000-5000-5000</f>
        <v>5000</v>
      </c>
      <c r="N143" s="55">
        <v>5000</v>
      </c>
      <c r="O143" s="191">
        <v>40000</v>
      </c>
      <c r="P143" s="91">
        <v>39</v>
      </c>
      <c r="Q143" s="71">
        <v>5179</v>
      </c>
      <c r="R143" s="32"/>
      <c r="S143" s="72">
        <v>350</v>
      </c>
      <c r="T143" s="56">
        <f t="shared" si="35"/>
        <v>34471</v>
      </c>
      <c r="U143" s="102"/>
      <c r="V143" s="66"/>
      <c r="X143" s="25"/>
      <c r="AB143" s="2"/>
      <c r="AC143" s="2"/>
      <c r="AD143" s="2"/>
      <c r="AE143" s="2"/>
      <c r="AF143" s="2"/>
      <c r="AH143" s="2"/>
      <c r="AI143" s="2"/>
    </row>
    <row r="144" spans="1:35" s="68" customFormat="1" x14ac:dyDescent="0.25">
      <c r="A144" s="22">
        <f t="shared" si="36"/>
        <v>9</v>
      </c>
      <c r="B144" s="22"/>
      <c r="C144" s="69" t="s">
        <v>556</v>
      </c>
      <c r="D144" s="66" t="s">
        <v>557</v>
      </c>
      <c r="E144" s="66" t="s">
        <v>558</v>
      </c>
      <c r="F144" s="66" t="s">
        <v>559</v>
      </c>
      <c r="G144" s="61">
        <v>46224</v>
      </c>
      <c r="H144" s="54">
        <v>25000</v>
      </c>
      <c r="I144" s="126">
        <v>30</v>
      </c>
      <c r="J144" s="127">
        <f t="shared" si="34"/>
        <v>25000</v>
      </c>
      <c r="K144" s="54"/>
      <c r="L144" s="55"/>
      <c r="M144" s="70"/>
      <c r="N144" s="120"/>
      <c r="O144" s="191"/>
      <c r="P144" s="94"/>
      <c r="Q144" s="71"/>
      <c r="R144" s="32"/>
      <c r="S144" s="72"/>
      <c r="T144" s="56">
        <f t="shared" si="35"/>
        <v>25000</v>
      </c>
      <c r="U144" s="118"/>
      <c r="V144" s="66"/>
      <c r="W144" s="124" t="s">
        <v>560</v>
      </c>
      <c r="X144" s="25"/>
      <c r="AB144" s="2"/>
      <c r="AC144" s="2"/>
      <c r="AD144" s="2"/>
      <c r="AE144" s="2"/>
      <c r="AF144" s="2"/>
      <c r="AH144" s="2"/>
      <c r="AI144" s="2"/>
    </row>
    <row r="145" spans="1:35" s="68" customFormat="1" x14ac:dyDescent="0.25">
      <c r="A145" s="22">
        <f t="shared" si="36"/>
        <v>10</v>
      </c>
      <c r="B145" s="22"/>
      <c r="C145" s="69" t="s">
        <v>561</v>
      </c>
      <c r="D145" s="66" t="s">
        <v>562</v>
      </c>
      <c r="E145" s="89" t="s">
        <v>563</v>
      </c>
      <c r="F145" s="89" t="s">
        <v>564</v>
      </c>
      <c r="G145" s="61">
        <v>46113</v>
      </c>
      <c r="H145" s="54">
        <v>40000</v>
      </c>
      <c r="I145" s="126">
        <v>30</v>
      </c>
      <c r="J145" s="127">
        <f t="shared" si="34"/>
        <v>40000</v>
      </c>
      <c r="K145" s="54"/>
      <c r="L145" s="55"/>
      <c r="M145" s="70"/>
      <c r="N145" s="55"/>
      <c r="O145" s="191"/>
      <c r="P145" s="94"/>
      <c r="Q145" s="71"/>
      <c r="R145" s="32"/>
      <c r="S145" s="72"/>
      <c r="T145" s="56">
        <f t="shared" si="35"/>
        <v>40000</v>
      </c>
      <c r="U145" s="102"/>
      <c r="V145" s="66"/>
      <c r="X145" s="25">
        <v>267623428</v>
      </c>
      <c r="AB145" s="2"/>
      <c r="AC145" s="2"/>
      <c r="AD145" s="2"/>
      <c r="AE145" s="2"/>
      <c r="AF145" s="2"/>
      <c r="AH145" s="2"/>
      <c r="AI145" s="2"/>
    </row>
    <row r="146" spans="1:35" s="68" customFormat="1" x14ac:dyDescent="0.25">
      <c r="A146" s="22">
        <f t="shared" si="36"/>
        <v>11</v>
      </c>
      <c r="B146" s="22" t="s">
        <v>565</v>
      </c>
      <c r="C146" s="69" t="s">
        <v>566</v>
      </c>
      <c r="D146" s="66" t="s">
        <v>329</v>
      </c>
      <c r="E146" s="89" t="s">
        <v>567</v>
      </c>
      <c r="F146" s="130" t="s">
        <v>568</v>
      </c>
      <c r="G146" s="61">
        <v>44544</v>
      </c>
      <c r="H146" s="54">
        <v>60000</v>
      </c>
      <c r="I146" s="126">
        <v>30</v>
      </c>
      <c r="J146" s="127">
        <f t="shared" si="34"/>
        <v>60000</v>
      </c>
      <c r="K146" s="54"/>
      <c r="L146" s="55"/>
      <c r="M146" s="70"/>
      <c r="N146" s="120"/>
      <c r="O146" s="188">
        <v>15000</v>
      </c>
      <c r="P146" s="76">
        <v>38</v>
      </c>
      <c r="Q146" s="71">
        <v>1240</v>
      </c>
      <c r="R146" s="56"/>
      <c r="S146" s="72">
        <v>0</v>
      </c>
      <c r="T146" s="56">
        <f t="shared" si="35"/>
        <v>43760</v>
      </c>
      <c r="U146" s="102"/>
      <c r="V146" s="66">
        <v>1010355756</v>
      </c>
      <c r="X146" s="25">
        <v>342709865</v>
      </c>
      <c r="AB146" s="2"/>
      <c r="AC146" s="2"/>
      <c r="AD146" s="2"/>
      <c r="AE146" s="2"/>
      <c r="AF146" s="2"/>
      <c r="AH146" s="2"/>
      <c r="AI146" s="2"/>
    </row>
    <row r="147" spans="1:35" ht="16.5" thickBot="1" x14ac:dyDescent="0.3">
      <c r="B147" s="22"/>
      <c r="D147" s="39"/>
      <c r="E147" s="40"/>
      <c r="F147" s="40"/>
      <c r="G147" s="41"/>
      <c r="H147" s="42">
        <f>SUM(H136:H146)</f>
        <v>1120000</v>
      </c>
      <c r="I147" s="41"/>
      <c r="J147" s="42">
        <f>SUM(J136:J146)</f>
        <v>1120000</v>
      </c>
      <c r="K147" s="42">
        <f t="shared" ref="K147:U147" si="37">SUM(K136:K146)</f>
        <v>0</v>
      </c>
      <c r="L147" s="42">
        <f t="shared" si="37"/>
        <v>0</v>
      </c>
      <c r="M147" s="42">
        <f t="shared" si="37"/>
        <v>5000</v>
      </c>
      <c r="N147" s="42">
        <f t="shared" si="37"/>
        <v>32500</v>
      </c>
      <c r="O147" s="186">
        <f t="shared" si="37"/>
        <v>222500</v>
      </c>
      <c r="P147" s="42"/>
      <c r="Q147" s="42">
        <f t="shared" si="37"/>
        <v>12411</v>
      </c>
      <c r="R147" s="42">
        <f t="shared" si="37"/>
        <v>0</v>
      </c>
      <c r="S147" s="42">
        <f t="shared" si="37"/>
        <v>20150</v>
      </c>
      <c r="T147" s="42">
        <f>SUM(T136:T146)</f>
        <v>832439</v>
      </c>
      <c r="U147" s="42">
        <f t="shared" si="37"/>
        <v>0</v>
      </c>
      <c r="V147" s="40"/>
      <c r="X147" s="25"/>
    </row>
    <row r="148" spans="1:35" ht="16.5" thickTop="1" x14ac:dyDescent="0.25">
      <c r="A148" s="16" t="s">
        <v>569</v>
      </c>
      <c r="B148" s="22"/>
      <c r="C148" s="17"/>
      <c r="D148" s="18"/>
      <c r="E148" s="18"/>
      <c r="F148" s="17"/>
      <c r="G148" s="17"/>
      <c r="H148" s="17"/>
      <c r="I148" s="19"/>
      <c r="J148" s="17"/>
      <c r="K148" s="17"/>
      <c r="L148" s="17"/>
      <c r="M148" s="17"/>
      <c r="N148" s="17"/>
      <c r="O148" s="184"/>
      <c r="P148" s="17"/>
      <c r="Q148" s="17"/>
      <c r="R148" s="20"/>
      <c r="S148" s="21"/>
      <c r="T148" s="20"/>
      <c r="U148" s="17"/>
      <c r="V148" s="17"/>
      <c r="X148" s="25"/>
    </row>
    <row r="149" spans="1:35" s="68" customFormat="1" x14ac:dyDescent="0.25">
      <c r="A149" s="19">
        <v>1</v>
      </c>
      <c r="B149" s="22" t="s">
        <v>570</v>
      </c>
      <c r="C149" s="69" t="s">
        <v>571</v>
      </c>
      <c r="D149" s="66" t="s">
        <v>572</v>
      </c>
      <c r="E149" s="66" t="s">
        <v>573</v>
      </c>
      <c r="F149" s="66" t="s">
        <v>574</v>
      </c>
      <c r="G149" s="61">
        <v>45187</v>
      </c>
      <c r="H149" s="54">
        <v>300000</v>
      </c>
      <c r="I149" s="19">
        <v>30</v>
      </c>
      <c r="J149" s="54">
        <f t="shared" ref="J149:J167" si="38">H149/30*I149</f>
        <v>300000</v>
      </c>
      <c r="K149" s="54"/>
      <c r="L149" s="55"/>
      <c r="M149" s="70"/>
      <c r="N149" s="55"/>
      <c r="O149" s="190"/>
      <c r="P149" s="79"/>
      <c r="Q149" s="71">
        <v>7143</v>
      </c>
      <c r="R149" s="56"/>
      <c r="S149" s="72">
        <v>13500</v>
      </c>
      <c r="T149" s="56">
        <f t="shared" ref="T149:T167" si="39">J149+K149+0+L149-N149-O149-Q149-R149-S149</f>
        <v>279357</v>
      </c>
      <c r="U149" s="104"/>
      <c r="V149" s="66">
        <v>1010356458</v>
      </c>
      <c r="X149" s="25"/>
      <c r="AB149" s="2"/>
      <c r="AC149" s="2"/>
      <c r="AD149" s="2"/>
      <c r="AE149" s="2"/>
      <c r="AF149" s="2"/>
      <c r="AH149" s="2"/>
      <c r="AI149" s="2"/>
    </row>
    <row r="150" spans="1:35" s="68" customFormat="1" ht="31.5" x14ac:dyDescent="0.25">
      <c r="A150" s="19">
        <f t="shared" ref="A150:A167" si="40">1+A149</f>
        <v>2</v>
      </c>
      <c r="B150" s="22" t="s">
        <v>575</v>
      </c>
      <c r="C150" s="69" t="s">
        <v>576</v>
      </c>
      <c r="D150" s="66" t="s">
        <v>577</v>
      </c>
      <c r="E150" s="66" t="s">
        <v>578</v>
      </c>
      <c r="F150" s="66" t="s">
        <v>579</v>
      </c>
      <c r="G150" s="61">
        <v>45339</v>
      </c>
      <c r="H150" s="54">
        <f>100000+25000</f>
        <v>125000</v>
      </c>
      <c r="I150" s="19">
        <v>30</v>
      </c>
      <c r="J150" s="54">
        <f t="shared" si="38"/>
        <v>125000.00000000001</v>
      </c>
      <c r="K150" s="54"/>
      <c r="L150" s="55"/>
      <c r="M150" s="70">
        <f>14722-14722</f>
        <v>0</v>
      </c>
      <c r="N150" s="55"/>
      <c r="O150" s="190"/>
      <c r="P150" s="79"/>
      <c r="Q150" s="71"/>
      <c r="R150" s="56"/>
      <c r="S150" s="72">
        <v>2700</v>
      </c>
      <c r="T150" s="56">
        <f t="shared" si="39"/>
        <v>122300.00000000001</v>
      </c>
      <c r="U150" s="104"/>
      <c r="V150" s="66">
        <v>1010349380</v>
      </c>
      <c r="X150" s="25">
        <v>342709858</v>
      </c>
      <c r="AB150" s="2"/>
      <c r="AC150" s="2"/>
      <c r="AD150" s="2"/>
      <c r="AE150" s="2"/>
      <c r="AF150" s="2"/>
      <c r="AH150" s="2"/>
      <c r="AI150" s="2"/>
    </row>
    <row r="151" spans="1:35" s="68" customFormat="1" x14ac:dyDescent="0.25">
      <c r="A151" s="19">
        <f t="shared" si="40"/>
        <v>3</v>
      </c>
      <c r="B151" s="22" t="s">
        <v>580</v>
      </c>
      <c r="C151" s="69" t="s">
        <v>581</v>
      </c>
      <c r="D151" s="66" t="s">
        <v>582</v>
      </c>
      <c r="E151" s="66" t="s">
        <v>578</v>
      </c>
      <c r="F151" s="66" t="s">
        <v>583</v>
      </c>
      <c r="G151" s="61">
        <v>45367</v>
      </c>
      <c r="H151" s="54">
        <f>150000+25000</f>
        <v>175000</v>
      </c>
      <c r="I151" s="19">
        <v>30</v>
      </c>
      <c r="J151" s="54">
        <f t="shared" si="38"/>
        <v>175000</v>
      </c>
      <c r="K151" s="54"/>
      <c r="L151" s="55"/>
      <c r="M151" s="70"/>
      <c r="N151" s="55"/>
      <c r="O151" s="190"/>
      <c r="P151" s="79"/>
      <c r="Q151" s="71"/>
      <c r="R151" s="56"/>
      <c r="S151" s="72">
        <v>6000</v>
      </c>
      <c r="T151" s="56">
        <f t="shared" si="39"/>
        <v>169000</v>
      </c>
      <c r="U151" s="104"/>
      <c r="V151" s="66">
        <v>1010356087</v>
      </c>
      <c r="X151" s="25">
        <v>342709834</v>
      </c>
      <c r="AB151" s="2"/>
      <c r="AC151" s="2"/>
      <c r="AD151" s="2"/>
      <c r="AE151" s="2"/>
      <c r="AF151" s="2"/>
      <c r="AH151" s="2"/>
      <c r="AI151" s="2"/>
    </row>
    <row r="152" spans="1:35" s="68" customFormat="1" x14ac:dyDescent="0.25">
      <c r="A152" s="19">
        <f t="shared" si="40"/>
        <v>4</v>
      </c>
      <c r="B152" s="22" t="s">
        <v>584</v>
      </c>
      <c r="C152" s="69" t="s">
        <v>585</v>
      </c>
      <c r="D152" s="66" t="s">
        <v>586</v>
      </c>
      <c r="E152" s="66" t="s">
        <v>578</v>
      </c>
      <c r="F152" s="66" t="s">
        <v>587</v>
      </c>
      <c r="G152" s="61">
        <v>45755</v>
      </c>
      <c r="H152" s="54">
        <v>120000</v>
      </c>
      <c r="I152" s="19">
        <v>30</v>
      </c>
      <c r="J152" s="54">
        <f t="shared" si="38"/>
        <v>120000</v>
      </c>
      <c r="K152" s="54"/>
      <c r="L152" s="55"/>
      <c r="M152" s="70"/>
      <c r="N152" s="55"/>
      <c r="O152" s="190">
        <v>40000</v>
      </c>
      <c r="P152" s="80">
        <v>47</v>
      </c>
      <c r="Q152" s="71"/>
      <c r="R152" s="56"/>
      <c r="S152" s="72">
        <v>2700</v>
      </c>
      <c r="T152" s="56">
        <f t="shared" si="39"/>
        <v>77300</v>
      </c>
      <c r="U152" s="102"/>
      <c r="V152" s="66">
        <v>1010350790</v>
      </c>
      <c r="X152" s="25">
        <v>343492764</v>
      </c>
      <c r="AB152" s="2"/>
      <c r="AC152" s="2"/>
      <c r="AD152" s="2"/>
      <c r="AE152" s="2"/>
      <c r="AF152" s="2"/>
      <c r="AH152" s="2"/>
      <c r="AI152" s="2"/>
    </row>
    <row r="153" spans="1:35" s="68" customFormat="1" x14ac:dyDescent="0.25">
      <c r="A153" s="19">
        <f t="shared" si="40"/>
        <v>5</v>
      </c>
      <c r="B153" s="22" t="s">
        <v>588</v>
      </c>
      <c r="C153" s="69" t="s">
        <v>439</v>
      </c>
      <c r="D153" s="66" t="s">
        <v>589</v>
      </c>
      <c r="E153" s="66" t="s">
        <v>590</v>
      </c>
      <c r="F153" s="66" t="s">
        <v>591</v>
      </c>
      <c r="G153" s="61">
        <v>45762</v>
      </c>
      <c r="H153" s="54">
        <v>90000</v>
      </c>
      <c r="I153" s="19">
        <v>30</v>
      </c>
      <c r="J153" s="54">
        <f t="shared" si="38"/>
        <v>90000</v>
      </c>
      <c r="K153" s="54"/>
      <c r="L153" s="55"/>
      <c r="M153" s="70"/>
      <c r="N153" s="55"/>
      <c r="O153" s="190"/>
      <c r="P153" s="79"/>
      <c r="Q153" s="71"/>
      <c r="R153" s="32"/>
      <c r="S153" s="72">
        <v>400</v>
      </c>
      <c r="T153" s="56">
        <f t="shared" si="39"/>
        <v>89600</v>
      </c>
      <c r="U153" s="102"/>
      <c r="V153" s="66">
        <v>1010356550</v>
      </c>
      <c r="X153" s="25"/>
      <c r="AB153" s="2"/>
      <c r="AC153" s="2"/>
      <c r="AD153" s="2"/>
      <c r="AE153" s="2"/>
      <c r="AF153" s="2"/>
      <c r="AH153" s="2"/>
      <c r="AI153" s="2"/>
    </row>
    <row r="154" spans="1:35" x14ac:dyDescent="0.25">
      <c r="A154" s="19">
        <f t="shared" si="40"/>
        <v>6</v>
      </c>
      <c r="B154" s="22" t="s">
        <v>592</v>
      </c>
      <c r="C154" s="59" t="s">
        <v>593</v>
      </c>
      <c r="D154" s="60" t="s">
        <v>594</v>
      </c>
      <c r="E154" s="60" t="s">
        <v>300</v>
      </c>
      <c r="F154" s="60" t="s">
        <v>595</v>
      </c>
      <c r="G154" s="61">
        <v>45753</v>
      </c>
      <c r="H154" s="54">
        <f>60000+10000</f>
        <v>70000</v>
      </c>
      <c r="I154" s="19">
        <v>30</v>
      </c>
      <c r="J154" s="54">
        <f t="shared" si="38"/>
        <v>70000</v>
      </c>
      <c r="K154" s="54"/>
      <c r="L154" s="55"/>
      <c r="M154" s="70">
        <f>70000-5000-5000-5000-5000</f>
        <v>50000</v>
      </c>
      <c r="N154" s="55">
        <v>5000</v>
      </c>
      <c r="O154" s="190"/>
      <c r="P154" s="79"/>
      <c r="Q154" s="71"/>
      <c r="R154" s="32"/>
      <c r="S154" s="57">
        <v>200</v>
      </c>
      <c r="T154" s="56">
        <f t="shared" si="39"/>
        <v>64800</v>
      </c>
      <c r="U154" s="105"/>
      <c r="V154" s="60">
        <v>1010349981</v>
      </c>
      <c r="X154" s="25">
        <v>342709766</v>
      </c>
    </row>
    <row r="155" spans="1:35" s="68" customFormat="1" x14ac:dyDescent="0.25">
      <c r="A155" s="19">
        <f t="shared" si="40"/>
        <v>7</v>
      </c>
      <c r="B155" s="22" t="s">
        <v>596</v>
      </c>
      <c r="C155" s="69" t="s">
        <v>597</v>
      </c>
      <c r="D155" s="66" t="s">
        <v>553</v>
      </c>
      <c r="E155" s="89" t="s">
        <v>554</v>
      </c>
      <c r="F155" s="89" t="s">
        <v>598</v>
      </c>
      <c r="G155" s="61">
        <v>45231</v>
      </c>
      <c r="H155" s="54">
        <v>60000</v>
      </c>
      <c r="I155" s="19">
        <v>30</v>
      </c>
      <c r="J155" s="54">
        <f t="shared" si="38"/>
        <v>60000</v>
      </c>
      <c r="K155" s="54"/>
      <c r="L155" s="55"/>
      <c r="M155" s="70">
        <f>60000-5000-5000-5000-5000-5000-5000-5000-5000-5000-5000-5000-5000</f>
        <v>0</v>
      </c>
      <c r="N155" s="55"/>
      <c r="O155" s="190">
        <v>30000</v>
      </c>
      <c r="P155" s="80">
        <v>45</v>
      </c>
      <c r="Q155" s="71"/>
      <c r="R155" s="56"/>
      <c r="S155" s="72">
        <v>0</v>
      </c>
      <c r="T155" s="56">
        <f t="shared" si="39"/>
        <v>30000</v>
      </c>
      <c r="U155" s="102"/>
      <c r="V155" s="60">
        <v>1010361904</v>
      </c>
      <c r="X155" s="25"/>
      <c r="AB155" s="2"/>
      <c r="AC155" s="2"/>
      <c r="AD155" s="2"/>
      <c r="AE155" s="2"/>
      <c r="AF155" s="2"/>
      <c r="AH155" s="2"/>
      <c r="AI155" s="2"/>
    </row>
    <row r="156" spans="1:35" x14ac:dyDescent="0.25">
      <c r="A156" s="19">
        <f t="shared" si="40"/>
        <v>8</v>
      </c>
      <c r="B156" s="22"/>
      <c r="C156" s="23" t="s">
        <v>599</v>
      </c>
      <c r="D156" s="24" t="s">
        <v>600</v>
      </c>
      <c r="E156" s="24" t="s">
        <v>601</v>
      </c>
      <c r="F156" s="131" t="s">
        <v>602</v>
      </c>
      <c r="G156" s="26">
        <v>46185</v>
      </c>
      <c r="H156" s="27">
        <v>100000</v>
      </c>
      <c r="I156" s="19">
        <v>30</v>
      </c>
      <c r="J156" s="54">
        <f t="shared" si="38"/>
        <v>100000</v>
      </c>
      <c r="K156" s="27"/>
      <c r="L156" s="19"/>
      <c r="M156" s="37"/>
      <c r="N156" s="19"/>
      <c r="O156" s="185"/>
      <c r="P156" s="30"/>
      <c r="Q156" s="31"/>
      <c r="R156" s="32"/>
      <c r="S156" s="33"/>
      <c r="T156" s="56">
        <f t="shared" si="39"/>
        <v>100000</v>
      </c>
      <c r="U156" s="36"/>
      <c r="V156" s="25"/>
      <c r="X156" s="25"/>
    </row>
    <row r="157" spans="1:35" ht="33.75" customHeight="1" x14ac:dyDescent="0.25">
      <c r="A157" s="19">
        <f t="shared" si="40"/>
        <v>9</v>
      </c>
      <c r="B157" s="22" t="s">
        <v>603</v>
      </c>
      <c r="C157" s="84" t="s">
        <v>604</v>
      </c>
      <c r="D157" s="60" t="s">
        <v>605</v>
      </c>
      <c r="E157" s="66" t="s">
        <v>590</v>
      </c>
      <c r="F157" s="60" t="s">
        <v>606</v>
      </c>
      <c r="G157" s="61">
        <v>45505</v>
      </c>
      <c r="H157" s="54">
        <f>45000+15000</f>
        <v>60000</v>
      </c>
      <c r="I157" s="19">
        <v>30</v>
      </c>
      <c r="J157" s="54">
        <f t="shared" si="38"/>
        <v>60000</v>
      </c>
      <c r="K157" s="54"/>
      <c r="L157" s="55"/>
      <c r="M157" s="70"/>
      <c r="N157" s="55"/>
      <c r="O157" s="190"/>
      <c r="P157" s="79"/>
      <c r="Q157" s="81"/>
      <c r="R157" s="32"/>
      <c r="S157" s="57">
        <v>0</v>
      </c>
      <c r="T157" s="56">
        <f t="shared" si="39"/>
        <v>60000</v>
      </c>
      <c r="U157" s="87"/>
      <c r="V157" s="60">
        <v>1010366799</v>
      </c>
      <c r="X157" s="25">
        <v>342709735</v>
      </c>
    </row>
    <row r="158" spans="1:35" x14ac:dyDescent="0.25">
      <c r="A158" s="19">
        <f t="shared" si="40"/>
        <v>10</v>
      </c>
      <c r="B158" s="22" t="s">
        <v>607</v>
      </c>
      <c r="C158" s="84" t="s">
        <v>608</v>
      </c>
      <c r="D158" s="60" t="s">
        <v>609</v>
      </c>
      <c r="E158" s="66" t="s">
        <v>590</v>
      </c>
      <c r="F158" s="60" t="s">
        <v>610</v>
      </c>
      <c r="G158" s="61">
        <v>46055</v>
      </c>
      <c r="H158" s="54">
        <v>85000</v>
      </c>
      <c r="I158" s="19">
        <v>30</v>
      </c>
      <c r="J158" s="54">
        <f t="shared" si="38"/>
        <v>85000</v>
      </c>
      <c r="K158" s="54"/>
      <c r="L158" s="55"/>
      <c r="M158" s="70"/>
      <c r="N158" s="120"/>
      <c r="O158" s="190"/>
      <c r="P158" s="79"/>
      <c r="Q158" s="81"/>
      <c r="R158" s="32"/>
      <c r="S158" s="57">
        <v>250</v>
      </c>
      <c r="T158" s="56">
        <f t="shared" si="39"/>
        <v>84750</v>
      </c>
      <c r="U158" s="87"/>
      <c r="V158" s="60"/>
      <c r="X158" s="25"/>
    </row>
    <row r="159" spans="1:35" x14ac:dyDescent="0.25">
      <c r="A159" s="19">
        <f t="shared" si="40"/>
        <v>11</v>
      </c>
      <c r="B159" s="22"/>
      <c r="C159" s="84" t="s">
        <v>611</v>
      </c>
      <c r="D159" s="60" t="s">
        <v>612</v>
      </c>
      <c r="E159" s="66" t="s">
        <v>590</v>
      </c>
      <c r="F159" s="60" t="s">
        <v>613</v>
      </c>
      <c r="G159" s="61">
        <v>46160</v>
      </c>
      <c r="H159" s="54">
        <v>55000</v>
      </c>
      <c r="I159" s="19">
        <v>26</v>
      </c>
      <c r="J159" s="54">
        <f t="shared" si="38"/>
        <v>47666.666666666664</v>
      </c>
      <c r="K159" s="54"/>
      <c r="L159" s="55"/>
      <c r="M159" s="70"/>
      <c r="N159" s="120"/>
      <c r="O159" s="190"/>
      <c r="P159" s="79"/>
      <c r="Q159" s="81"/>
      <c r="R159" s="32"/>
      <c r="S159" s="57"/>
      <c r="T159" s="56">
        <f t="shared" si="39"/>
        <v>47666.666666666664</v>
      </c>
      <c r="U159" s="87"/>
      <c r="V159" s="60"/>
      <c r="X159" s="25"/>
    </row>
    <row r="160" spans="1:35" ht="31.5" x14ac:dyDescent="0.25">
      <c r="A160" s="19">
        <f t="shared" si="40"/>
        <v>12</v>
      </c>
      <c r="B160" s="22" t="s">
        <v>614</v>
      </c>
      <c r="C160" s="59" t="s">
        <v>615</v>
      </c>
      <c r="D160" s="60" t="s">
        <v>616</v>
      </c>
      <c r="E160" s="66" t="s">
        <v>590</v>
      </c>
      <c r="F160" s="25" t="s">
        <v>617</v>
      </c>
      <c r="G160" s="61">
        <v>44439</v>
      </c>
      <c r="H160" s="54">
        <v>40000</v>
      </c>
      <c r="I160" s="19">
        <v>30</v>
      </c>
      <c r="J160" s="54">
        <f t="shared" si="38"/>
        <v>40000</v>
      </c>
      <c r="K160" s="54"/>
      <c r="L160" s="103"/>
      <c r="M160" s="70">
        <f>30000-5000-5000-5000-5000-5000-5000</f>
        <v>0</v>
      </c>
      <c r="N160" s="120"/>
      <c r="O160" s="190">
        <v>20000</v>
      </c>
      <c r="P160" s="80">
        <v>18</v>
      </c>
      <c r="Q160" s="81"/>
      <c r="R160" s="32"/>
      <c r="S160" s="57">
        <v>0</v>
      </c>
      <c r="T160" s="56">
        <f t="shared" si="39"/>
        <v>20000</v>
      </c>
      <c r="U160" s="90" t="s">
        <v>618</v>
      </c>
      <c r="V160" s="25">
        <v>1010356258</v>
      </c>
      <c r="X160" s="25">
        <v>342709711</v>
      </c>
    </row>
    <row r="161" spans="1:35" x14ac:dyDescent="0.25">
      <c r="A161" s="19">
        <f t="shared" si="40"/>
        <v>13</v>
      </c>
      <c r="B161" s="22" t="s">
        <v>619</v>
      </c>
      <c r="C161" s="59" t="s">
        <v>620</v>
      </c>
      <c r="D161" s="60" t="s">
        <v>621</v>
      </c>
      <c r="E161" s="66" t="s">
        <v>622</v>
      </c>
      <c r="F161" s="25" t="s">
        <v>623</v>
      </c>
      <c r="G161" s="61">
        <v>45931</v>
      </c>
      <c r="H161" s="54">
        <f>25000+10000</f>
        <v>35000</v>
      </c>
      <c r="I161" s="19">
        <v>30</v>
      </c>
      <c r="J161" s="54">
        <f t="shared" si="38"/>
        <v>35000</v>
      </c>
      <c r="K161" s="54"/>
      <c r="L161" s="103"/>
      <c r="M161" s="70"/>
      <c r="N161" s="120"/>
      <c r="O161" s="190"/>
      <c r="P161" s="79"/>
      <c r="Q161" s="81"/>
      <c r="R161" s="56"/>
      <c r="S161" s="57">
        <v>0</v>
      </c>
      <c r="T161" s="56">
        <f t="shared" si="39"/>
        <v>35000</v>
      </c>
      <c r="U161" s="87"/>
      <c r="V161" s="25"/>
      <c r="X161" s="25">
        <v>342709704</v>
      </c>
      <c r="AA161" s="2" t="s">
        <v>624</v>
      </c>
    </row>
    <row r="162" spans="1:35" x14ac:dyDescent="0.25">
      <c r="A162" s="19">
        <f t="shared" si="40"/>
        <v>14</v>
      </c>
      <c r="B162" s="22"/>
      <c r="C162" s="59" t="s">
        <v>625</v>
      </c>
      <c r="D162" s="60" t="s">
        <v>626</v>
      </c>
      <c r="E162" s="66" t="s">
        <v>590</v>
      </c>
      <c r="F162" s="25" t="s">
        <v>627</v>
      </c>
      <c r="G162" s="61">
        <v>46174</v>
      </c>
      <c r="H162" s="54">
        <v>45000</v>
      </c>
      <c r="I162" s="19">
        <v>26</v>
      </c>
      <c r="J162" s="54">
        <f t="shared" si="38"/>
        <v>39000</v>
      </c>
      <c r="K162" s="54"/>
      <c r="L162" s="103"/>
      <c r="M162" s="70"/>
      <c r="N162" s="120"/>
      <c r="O162" s="190"/>
      <c r="P162" s="79"/>
      <c r="Q162" s="81"/>
      <c r="R162" s="32"/>
      <c r="S162" s="57"/>
      <c r="T162" s="56">
        <f t="shared" si="39"/>
        <v>39000</v>
      </c>
      <c r="U162" s="63"/>
      <c r="V162" s="25"/>
      <c r="X162" s="25"/>
    </row>
    <row r="163" spans="1:35" s="68" customFormat="1" x14ac:dyDescent="0.25">
      <c r="A163" s="19">
        <f t="shared" si="40"/>
        <v>15</v>
      </c>
      <c r="B163" s="22" t="s">
        <v>628</v>
      </c>
      <c r="C163" s="69" t="s">
        <v>629</v>
      </c>
      <c r="D163" s="66" t="s">
        <v>630</v>
      </c>
      <c r="E163" s="66" t="s">
        <v>590</v>
      </c>
      <c r="F163" s="66" t="s">
        <v>631</v>
      </c>
      <c r="G163" s="61">
        <v>44419</v>
      </c>
      <c r="H163" s="54">
        <f>45000+15000</f>
        <v>60000</v>
      </c>
      <c r="I163" s="19">
        <v>30</v>
      </c>
      <c r="J163" s="54">
        <f t="shared" si="38"/>
        <v>60000</v>
      </c>
      <c r="K163" s="54"/>
      <c r="L163" s="55"/>
      <c r="M163" s="54"/>
      <c r="N163" s="55"/>
      <c r="O163" s="188"/>
      <c r="P163" s="54"/>
      <c r="Q163" s="54"/>
      <c r="R163" s="32"/>
      <c r="S163" s="72">
        <v>0</v>
      </c>
      <c r="T163" s="56">
        <f t="shared" si="39"/>
        <v>60000</v>
      </c>
      <c r="U163" s="132"/>
      <c r="V163" s="62">
        <v>1010346920</v>
      </c>
      <c r="X163" s="25">
        <v>342709698</v>
      </c>
      <c r="AB163" s="2"/>
      <c r="AC163" s="2"/>
      <c r="AD163" s="2"/>
      <c r="AE163" s="2"/>
      <c r="AF163" s="2"/>
      <c r="AH163" s="2"/>
      <c r="AI163" s="2"/>
    </row>
    <row r="164" spans="1:35" s="68" customFormat="1" x14ac:dyDescent="0.25">
      <c r="A164" s="19">
        <f t="shared" si="40"/>
        <v>16</v>
      </c>
      <c r="B164" s="22"/>
      <c r="C164" s="69" t="s">
        <v>632</v>
      </c>
      <c r="D164" s="66" t="s">
        <v>633</v>
      </c>
      <c r="E164" s="66" t="s">
        <v>590</v>
      </c>
      <c r="F164" s="66" t="s">
        <v>634</v>
      </c>
      <c r="G164" s="61">
        <v>46235</v>
      </c>
      <c r="H164" s="54">
        <v>75000</v>
      </c>
      <c r="I164" s="19">
        <v>30</v>
      </c>
      <c r="J164" s="54">
        <f t="shared" si="38"/>
        <v>75000</v>
      </c>
      <c r="K164" s="54"/>
      <c r="L164" s="55"/>
      <c r="M164" s="54"/>
      <c r="N164" s="55"/>
      <c r="O164" s="188"/>
      <c r="P164" s="54"/>
      <c r="Q164" s="54"/>
      <c r="R164" s="32"/>
      <c r="S164" s="72"/>
      <c r="T164" s="56">
        <f t="shared" si="39"/>
        <v>75000</v>
      </c>
      <c r="U164" s="132"/>
      <c r="V164" s="62"/>
      <c r="X164" s="25"/>
      <c r="AB164" s="2"/>
      <c r="AC164" s="2"/>
      <c r="AD164" s="2"/>
      <c r="AE164" s="2"/>
      <c r="AF164" s="2"/>
      <c r="AH164" s="2"/>
      <c r="AI164" s="2"/>
    </row>
    <row r="165" spans="1:35" s="68" customFormat="1" x14ac:dyDescent="0.25">
      <c r="A165" s="19">
        <f t="shared" si="40"/>
        <v>17</v>
      </c>
      <c r="B165" s="22"/>
      <c r="C165" s="69" t="s">
        <v>635</v>
      </c>
      <c r="D165" s="66" t="s">
        <v>636</v>
      </c>
      <c r="E165" s="66" t="s">
        <v>622</v>
      </c>
      <c r="F165" s="66" t="s">
        <v>637</v>
      </c>
      <c r="G165" s="61">
        <v>46235</v>
      </c>
      <c r="H165" s="54">
        <f>15000+20000</f>
        <v>35000</v>
      </c>
      <c r="I165" s="19">
        <v>30</v>
      </c>
      <c r="J165" s="54">
        <f t="shared" si="38"/>
        <v>35000</v>
      </c>
      <c r="K165" s="54"/>
      <c r="L165" s="55"/>
      <c r="M165" s="54"/>
      <c r="N165" s="55"/>
      <c r="O165" s="188">
        <v>10000</v>
      </c>
      <c r="P165" s="95">
        <v>58</v>
      </c>
      <c r="Q165" s="54"/>
      <c r="R165" s="32"/>
      <c r="S165" s="72"/>
      <c r="T165" s="56">
        <f t="shared" si="39"/>
        <v>25000</v>
      </c>
      <c r="U165" s="132"/>
      <c r="V165" s="62"/>
      <c r="X165" s="25"/>
      <c r="AA165" s="68" t="s">
        <v>638</v>
      </c>
      <c r="AB165" s="35"/>
      <c r="AC165" s="2"/>
      <c r="AD165" s="2"/>
      <c r="AE165" s="2"/>
      <c r="AF165" s="2"/>
      <c r="AH165" s="2"/>
    </row>
    <row r="166" spans="1:35" s="68" customFormat="1" x14ac:dyDescent="0.25">
      <c r="A166" s="19">
        <f t="shared" si="40"/>
        <v>18</v>
      </c>
      <c r="B166" s="22"/>
      <c r="C166" s="69" t="s">
        <v>639</v>
      </c>
      <c r="D166" s="66" t="s">
        <v>640</v>
      </c>
      <c r="E166" s="66" t="s">
        <v>641</v>
      </c>
      <c r="F166" s="66" t="s">
        <v>642</v>
      </c>
      <c r="G166" s="61">
        <v>46235</v>
      </c>
      <c r="H166" s="54">
        <f>35000+15000</f>
        <v>50000</v>
      </c>
      <c r="I166" s="19">
        <v>30</v>
      </c>
      <c r="J166" s="54">
        <f t="shared" si="38"/>
        <v>50000</v>
      </c>
      <c r="K166" s="54"/>
      <c r="L166" s="55"/>
      <c r="M166" s="54"/>
      <c r="N166" s="55"/>
      <c r="O166" s="188"/>
      <c r="P166" s="54"/>
      <c r="Q166" s="54"/>
      <c r="R166" s="32"/>
      <c r="S166" s="72"/>
      <c r="T166" s="56">
        <f t="shared" si="39"/>
        <v>50000</v>
      </c>
      <c r="U166" s="132"/>
      <c r="V166" s="62"/>
      <c r="X166" s="25"/>
      <c r="AA166" s="68" t="s">
        <v>643</v>
      </c>
      <c r="AB166" s="2"/>
      <c r="AC166" s="2"/>
      <c r="AD166" s="2"/>
      <c r="AE166" s="2"/>
      <c r="AF166" s="2"/>
      <c r="AH166" s="2"/>
      <c r="AI166" s="2"/>
    </row>
    <row r="167" spans="1:35" s="68" customFormat="1" ht="31.5" x14ac:dyDescent="0.25">
      <c r="A167" s="19">
        <f t="shared" si="40"/>
        <v>19</v>
      </c>
      <c r="B167" s="22" t="s">
        <v>644</v>
      </c>
      <c r="C167" s="69" t="s">
        <v>645</v>
      </c>
      <c r="D167" s="66" t="s">
        <v>646</v>
      </c>
      <c r="E167" s="66" t="s">
        <v>590</v>
      </c>
      <c r="F167" s="66" t="s">
        <v>647</v>
      </c>
      <c r="G167" s="61">
        <v>46046</v>
      </c>
      <c r="H167" s="54">
        <v>90000</v>
      </c>
      <c r="I167" s="19">
        <v>30</v>
      </c>
      <c r="J167" s="54">
        <f t="shared" si="38"/>
        <v>90000</v>
      </c>
      <c r="K167" s="54"/>
      <c r="L167" s="55"/>
      <c r="M167" s="54"/>
      <c r="N167" s="55"/>
      <c r="O167" s="188">
        <v>10000</v>
      </c>
      <c r="P167" s="95">
        <v>46</v>
      </c>
      <c r="Q167" s="54"/>
      <c r="R167" s="32"/>
      <c r="S167" s="72">
        <v>300</v>
      </c>
      <c r="T167" s="56">
        <f t="shared" si="39"/>
        <v>79700</v>
      </c>
      <c r="U167" s="132"/>
      <c r="V167" s="62"/>
      <c r="X167" s="25"/>
      <c r="AB167" s="2"/>
      <c r="AC167" s="2"/>
      <c r="AD167" s="2"/>
      <c r="AE167" s="2"/>
      <c r="AF167" s="2"/>
      <c r="AH167" s="2"/>
      <c r="AI167" s="2"/>
    </row>
    <row r="168" spans="1:35" ht="16.5" thickBot="1" x14ac:dyDescent="0.3">
      <c r="B168" s="22"/>
      <c r="D168" s="39"/>
      <c r="E168" s="40"/>
      <c r="F168" s="40"/>
      <c r="G168" s="41"/>
      <c r="H168" s="42">
        <f>SUM(H149:H167)</f>
        <v>1670000</v>
      </c>
      <c r="I168" s="41"/>
      <c r="J168" s="42">
        <f t="shared" ref="J168:O168" si="41">SUM(J149:J167)</f>
        <v>1656666.6666666667</v>
      </c>
      <c r="K168" s="42">
        <f t="shared" si="41"/>
        <v>0</v>
      </c>
      <c r="L168" s="42">
        <f t="shared" si="41"/>
        <v>0</v>
      </c>
      <c r="M168" s="42">
        <f t="shared" si="41"/>
        <v>50000</v>
      </c>
      <c r="N168" s="42">
        <f t="shared" si="41"/>
        <v>5000</v>
      </c>
      <c r="O168" s="186">
        <f t="shared" si="41"/>
        <v>110000</v>
      </c>
      <c r="P168" s="42"/>
      <c r="Q168" s="42">
        <f>SUM(Q149:Q167)</f>
        <v>7143</v>
      </c>
      <c r="R168" s="42">
        <f>SUM(R149:R167)</f>
        <v>0</v>
      </c>
      <c r="S168" s="42">
        <f>SUM(S149:S167)</f>
        <v>26050</v>
      </c>
      <c r="T168" s="42">
        <f>SUM(T149:T167)</f>
        <v>1508473.6666666667</v>
      </c>
      <c r="U168" s="42"/>
      <c r="V168" s="40"/>
      <c r="X168" s="25"/>
    </row>
    <row r="169" spans="1:35" ht="16.5" thickTop="1" x14ac:dyDescent="0.25">
      <c r="A169" s="16" t="s">
        <v>648</v>
      </c>
      <c r="B169" s="22"/>
      <c r="C169" s="17"/>
      <c r="D169" s="18"/>
      <c r="E169" s="18"/>
      <c r="F169" s="17"/>
      <c r="G169" s="17"/>
      <c r="H169" s="17"/>
      <c r="I169" s="19"/>
      <c r="J169" s="17"/>
      <c r="K169" s="17"/>
      <c r="L169" s="17"/>
      <c r="M169" s="17"/>
      <c r="N169" s="17"/>
      <c r="O169" s="184"/>
      <c r="P169" s="17"/>
      <c r="Q169" s="17"/>
      <c r="R169" s="20"/>
      <c r="S169" s="21"/>
      <c r="T169" s="20"/>
      <c r="U169" s="17"/>
      <c r="V169" s="17"/>
      <c r="X169" s="25"/>
    </row>
    <row r="170" spans="1:35" s="68" customFormat="1" ht="31.5" x14ac:dyDescent="0.25">
      <c r="A170" s="19">
        <v>1</v>
      </c>
      <c r="B170" s="22" t="s">
        <v>649</v>
      </c>
      <c r="C170" s="69" t="s">
        <v>650</v>
      </c>
      <c r="D170" s="66" t="s">
        <v>651</v>
      </c>
      <c r="E170" s="66" t="s">
        <v>652</v>
      </c>
      <c r="F170" s="66" t="s">
        <v>653</v>
      </c>
      <c r="G170" s="61">
        <v>45200</v>
      </c>
      <c r="H170" s="54">
        <v>110000</v>
      </c>
      <c r="I170" s="19">
        <v>30</v>
      </c>
      <c r="J170" s="54">
        <f t="shared" ref="J170:J178" si="42">H170/30*I170</f>
        <v>110000</v>
      </c>
      <c r="K170" s="54"/>
      <c r="L170" s="55"/>
      <c r="M170" s="70"/>
      <c r="N170" s="55"/>
      <c r="O170" s="190"/>
      <c r="P170" s="79"/>
      <c r="Q170" s="71"/>
      <c r="R170" s="78"/>
      <c r="S170" s="72">
        <v>1600</v>
      </c>
      <c r="T170" s="78">
        <f t="shared" ref="T170:T178" si="43">J170+K170+0+L170-N170-O170-Q170-R170-S170</f>
        <v>108400</v>
      </c>
      <c r="U170" s="102"/>
      <c r="V170" s="66">
        <v>1010419739</v>
      </c>
      <c r="X170" s="25">
        <v>372321525</v>
      </c>
      <c r="AB170" s="2"/>
      <c r="AC170" s="2"/>
      <c r="AD170" s="2"/>
      <c r="AE170" s="2"/>
      <c r="AF170" s="2"/>
      <c r="AH170" s="2"/>
      <c r="AI170" s="2"/>
    </row>
    <row r="171" spans="1:35" s="68" customFormat="1" x14ac:dyDescent="0.25">
      <c r="A171" s="19">
        <f>1+A170</f>
        <v>2</v>
      </c>
      <c r="B171" s="22" t="s">
        <v>654</v>
      </c>
      <c r="C171" s="69" t="s">
        <v>655</v>
      </c>
      <c r="D171" s="66" t="s">
        <v>656</v>
      </c>
      <c r="E171" s="66" t="s">
        <v>657</v>
      </c>
      <c r="F171" s="66" t="s">
        <v>658</v>
      </c>
      <c r="G171" s="61">
        <v>45204</v>
      </c>
      <c r="H171" s="54">
        <f>250000+25000</f>
        <v>275000</v>
      </c>
      <c r="I171" s="19">
        <v>30</v>
      </c>
      <c r="J171" s="54">
        <f t="shared" si="42"/>
        <v>275000</v>
      </c>
      <c r="K171" s="54"/>
      <c r="L171" s="55"/>
      <c r="M171" s="70"/>
      <c r="N171" s="55"/>
      <c r="O171" s="190"/>
      <c r="P171" s="79"/>
      <c r="Q171" s="71"/>
      <c r="R171" s="78"/>
      <c r="S171" s="72">
        <v>13500</v>
      </c>
      <c r="T171" s="78">
        <f t="shared" si="43"/>
        <v>261500</v>
      </c>
      <c r="U171" s="102"/>
      <c r="V171" s="66">
        <v>1010452802</v>
      </c>
      <c r="X171" s="25"/>
      <c r="AB171" s="2"/>
      <c r="AC171" s="2"/>
      <c r="AD171" s="2"/>
      <c r="AE171" s="2"/>
      <c r="AF171" s="2"/>
      <c r="AH171" s="2"/>
      <c r="AI171" s="2"/>
    </row>
    <row r="172" spans="1:35" s="68" customFormat="1" x14ac:dyDescent="0.25">
      <c r="A172" s="19">
        <v>3</v>
      </c>
      <c r="B172" s="22" t="s">
        <v>659</v>
      </c>
      <c r="C172" s="69" t="s">
        <v>660</v>
      </c>
      <c r="D172" s="66" t="s">
        <v>661</v>
      </c>
      <c r="E172" s="66" t="s">
        <v>285</v>
      </c>
      <c r="F172" s="66" t="s">
        <v>662</v>
      </c>
      <c r="G172" s="61">
        <v>45614</v>
      </c>
      <c r="H172" s="54">
        <v>95000</v>
      </c>
      <c r="I172" s="19">
        <v>30</v>
      </c>
      <c r="J172" s="54">
        <f t="shared" si="42"/>
        <v>95000</v>
      </c>
      <c r="K172" s="54"/>
      <c r="L172" s="55"/>
      <c r="M172" s="70"/>
      <c r="N172" s="55"/>
      <c r="O172" s="190"/>
      <c r="P172" s="79"/>
      <c r="Q172" s="71"/>
      <c r="R172" s="32"/>
      <c r="S172" s="72">
        <v>450</v>
      </c>
      <c r="T172" s="78">
        <f t="shared" si="43"/>
        <v>94550</v>
      </c>
      <c r="U172" s="102"/>
      <c r="V172" s="66"/>
      <c r="X172" s="25">
        <v>366680021</v>
      </c>
      <c r="AB172" s="2"/>
      <c r="AC172" s="2"/>
      <c r="AD172" s="2"/>
      <c r="AE172" s="2"/>
      <c r="AF172" s="2"/>
      <c r="AH172" s="2"/>
      <c r="AI172" s="2"/>
    </row>
    <row r="173" spans="1:35" s="68" customFormat="1" x14ac:dyDescent="0.25">
      <c r="A173" s="19">
        <f t="shared" ref="A173:A178" si="44">1+A172</f>
        <v>4</v>
      </c>
      <c r="B173" s="22" t="s">
        <v>663</v>
      </c>
      <c r="C173" s="69" t="s">
        <v>664</v>
      </c>
      <c r="D173" s="66" t="s">
        <v>665</v>
      </c>
      <c r="E173" s="66" t="s">
        <v>300</v>
      </c>
      <c r="F173" s="66" t="s">
        <v>666</v>
      </c>
      <c r="G173" s="61">
        <v>45952</v>
      </c>
      <c r="H173" s="54">
        <v>65000</v>
      </c>
      <c r="I173" s="19">
        <v>30</v>
      </c>
      <c r="J173" s="54">
        <f t="shared" si="42"/>
        <v>64999.999999999993</v>
      </c>
      <c r="K173" s="54"/>
      <c r="L173" s="55"/>
      <c r="M173" s="70"/>
      <c r="N173" s="55"/>
      <c r="O173" s="190"/>
      <c r="P173" s="79"/>
      <c r="Q173" s="71"/>
      <c r="R173" s="32"/>
      <c r="S173" s="72">
        <v>0</v>
      </c>
      <c r="T173" s="78">
        <f t="shared" si="43"/>
        <v>64999.999999999993</v>
      </c>
      <c r="U173" s="102"/>
      <c r="V173" s="66"/>
      <c r="X173" s="25">
        <v>366679236</v>
      </c>
      <c r="AB173" s="2"/>
      <c r="AC173" s="2"/>
      <c r="AD173" s="2"/>
      <c r="AE173" s="2"/>
      <c r="AF173" s="2"/>
      <c r="AH173" s="2"/>
      <c r="AI173" s="2"/>
    </row>
    <row r="174" spans="1:35" s="68" customFormat="1" ht="31.5" x14ac:dyDescent="0.25">
      <c r="A174" s="19">
        <f t="shared" si="44"/>
        <v>5</v>
      </c>
      <c r="B174" s="22" t="s">
        <v>667</v>
      </c>
      <c r="C174" s="69" t="s">
        <v>668</v>
      </c>
      <c r="D174" s="66" t="s">
        <v>669</v>
      </c>
      <c r="E174" s="66" t="s">
        <v>334</v>
      </c>
      <c r="F174" s="66" t="s">
        <v>670</v>
      </c>
      <c r="G174" s="61">
        <v>45369</v>
      </c>
      <c r="H174" s="54">
        <v>75000</v>
      </c>
      <c r="I174" s="19">
        <v>30</v>
      </c>
      <c r="J174" s="54">
        <f t="shared" si="42"/>
        <v>75000</v>
      </c>
      <c r="K174" s="54"/>
      <c r="L174" s="55"/>
      <c r="M174" s="70"/>
      <c r="N174" s="55"/>
      <c r="O174" s="190"/>
      <c r="P174" s="79"/>
      <c r="Q174" s="71"/>
      <c r="R174" s="32"/>
      <c r="S174" s="72">
        <v>250</v>
      </c>
      <c r="T174" s="78">
        <f t="shared" si="43"/>
        <v>74750</v>
      </c>
      <c r="U174" s="102"/>
      <c r="V174" s="66"/>
      <c r="X174" s="25">
        <v>366680328</v>
      </c>
      <c r="AB174" s="2"/>
      <c r="AC174" s="2"/>
      <c r="AD174" s="2"/>
      <c r="AE174" s="2"/>
      <c r="AF174" s="2"/>
      <c r="AH174" s="2"/>
      <c r="AI174" s="2"/>
    </row>
    <row r="175" spans="1:35" s="68" customFormat="1" x14ac:dyDescent="0.25">
      <c r="A175" s="19">
        <f t="shared" si="44"/>
        <v>6</v>
      </c>
      <c r="B175" s="22" t="s">
        <v>671</v>
      </c>
      <c r="C175" s="69" t="s">
        <v>672</v>
      </c>
      <c r="D175" s="66" t="s">
        <v>673</v>
      </c>
      <c r="E175" s="66" t="s">
        <v>674</v>
      </c>
      <c r="F175" s="66" t="s">
        <v>675</v>
      </c>
      <c r="G175" s="61">
        <v>44995</v>
      </c>
      <c r="H175" s="54">
        <v>62500</v>
      </c>
      <c r="I175" s="19">
        <v>30</v>
      </c>
      <c r="J175" s="54">
        <f t="shared" si="42"/>
        <v>62500.000000000007</v>
      </c>
      <c r="K175" s="54"/>
      <c r="L175" s="55"/>
      <c r="M175" s="70"/>
      <c r="N175" s="55"/>
      <c r="O175" s="190"/>
      <c r="P175" s="79"/>
      <c r="Q175" s="71"/>
      <c r="R175" s="32"/>
      <c r="S175" s="72">
        <v>0</v>
      </c>
      <c r="T175" s="78">
        <f t="shared" si="43"/>
        <v>62500.000000000007</v>
      </c>
      <c r="U175" s="102"/>
      <c r="V175" s="66">
        <v>1010418045</v>
      </c>
      <c r="X175" s="25">
        <v>372320478</v>
      </c>
      <c r="AB175" s="2"/>
      <c r="AC175" s="2"/>
      <c r="AD175" s="2"/>
      <c r="AE175" s="2"/>
      <c r="AF175" s="2"/>
      <c r="AH175" s="2"/>
      <c r="AI175" s="2"/>
    </row>
    <row r="176" spans="1:35" s="68" customFormat="1" x14ac:dyDescent="0.25">
      <c r="A176" s="19">
        <f t="shared" si="44"/>
        <v>7</v>
      </c>
      <c r="B176" s="22" t="s">
        <v>676</v>
      </c>
      <c r="C176" s="69" t="s">
        <v>677</v>
      </c>
      <c r="D176" s="66" t="s">
        <v>678</v>
      </c>
      <c r="E176" s="66" t="s">
        <v>679</v>
      </c>
      <c r="F176" s="66" t="s">
        <v>680</v>
      </c>
      <c r="G176" s="61">
        <v>45486</v>
      </c>
      <c r="H176" s="54">
        <v>30000</v>
      </c>
      <c r="I176" s="19">
        <v>30</v>
      </c>
      <c r="J176" s="54">
        <f t="shared" si="42"/>
        <v>30000</v>
      </c>
      <c r="K176" s="54"/>
      <c r="L176" s="55"/>
      <c r="M176" s="70"/>
      <c r="N176" s="55"/>
      <c r="O176" s="185"/>
      <c r="P176" s="30"/>
      <c r="Q176" s="71"/>
      <c r="R176" s="29"/>
      <c r="S176" s="72">
        <v>0</v>
      </c>
      <c r="T176" s="78">
        <f t="shared" si="43"/>
        <v>30000</v>
      </c>
      <c r="U176" s="102"/>
      <c r="V176" s="66">
        <v>1010452332</v>
      </c>
      <c r="X176" s="25"/>
      <c r="AB176" s="2"/>
      <c r="AC176" s="2"/>
      <c r="AD176" s="2"/>
      <c r="AE176" s="2"/>
      <c r="AF176" s="2"/>
      <c r="AH176" s="2"/>
      <c r="AI176" s="2"/>
    </row>
    <row r="177" spans="1:35" s="68" customFormat="1" ht="31.5" x14ac:dyDescent="0.25">
      <c r="A177" s="19">
        <f t="shared" si="44"/>
        <v>8</v>
      </c>
      <c r="B177" s="22" t="s">
        <v>681</v>
      </c>
      <c r="C177" s="69" t="s">
        <v>682</v>
      </c>
      <c r="D177" s="66" t="s">
        <v>683</v>
      </c>
      <c r="E177" s="66" t="s">
        <v>684</v>
      </c>
      <c r="F177" s="66" t="s">
        <v>685</v>
      </c>
      <c r="G177" s="61">
        <v>45030</v>
      </c>
      <c r="H177" s="54">
        <v>45000</v>
      </c>
      <c r="I177" s="19">
        <v>30</v>
      </c>
      <c r="J177" s="54">
        <f t="shared" si="42"/>
        <v>45000</v>
      </c>
      <c r="K177" s="54"/>
      <c r="L177" s="55"/>
      <c r="M177" s="70"/>
      <c r="N177" s="55"/>
      <c r="O177" s="190"/>
      <c r="P177" s="79"/>
      <c r="Q177" s="71"/>
      <c r="R177" s="32"/>
      <c r="S177" s="72">
        <v>0</v>
      </c>
      <c r="T177" s="78">
        <f t="shared" si="43"/>
        <v>45000</v>
      </c>
      <c r="U177" s="102"/>
      <c r="V177" s="66">
        <v>1010419958</v>
      </c>
      <c r="W177" s="68" t="s">
        <v>686</v>
      </c>
      <c r="X177" s="25">
        <v>366680892</v>
      </c>
      <c r="AB177" s="2"/>
      <c r="AC177" s="2"/>
      <c r="AD177" s="2"/>
      <c r="AE177" s="2"/>
      <c r="AF177" s="2"/>
      <c r="AH177" s="2"/>
      <c r="AI177" s="2"/>
    </row>
    <row r="178" spans="1:35" s="68" customFormat="1" ht="32.25" thickBot="1" x14ac:dyDescent="0.3">
      <c r="A178" s="19">
        <f t="shared" si="44"/>
        <v>9</v>
      </c>
      <c r="B178" s="22" t="s">
        <v>687</v>
      </c>
      <c r="C178" s="69" t="s">
        <v>688</v>
      </c>
      <c r="D178" s="66" t="s">
        <v>683</v>
      </c>
      <c r="E178" s="66" t="s">
        <v>689</v>
      </c>
      <c r="F178" s="66" t="s">
        <v>690</v>
      </c>
      <c r="G178" s="61">
        <v>45030</v>
      </c>
      <c r="H178" s="54"/>
      <c r="I178" s="19">
        <v>30</v>
      </c>
      <c r="J178" s="54">
        <f t="shared" si="42"/>
        <v>0</v>
      </c>
      <c r="K178" s="54"/>
      <c r="L178" s="55"/>
      <c r="M178" s="70"/>
      <c r="N178" s="55"/>
      <c r="O178" s="193"/>
      <c r="P178" s="46"/>
      <c r="Q178" s="71"/>
      <c r="R178" s="133"/>
      <c r="S178" s="72"/>
      <c r="T178" s="78">
        <f t="shared" si="43"/>
        <v>0</v>
      </c>
      <c r="U178" s="102"/>
      <c r="V178" s="66"/>
      <c r="X178" s="25"/>
      <c r="AB178" s="2"/>
      <c r="AC178" s="2"/>
      <c r="AD178" s="2"/>
      <c r="AE178" s="2"/>
      <c r="AF178" s="2"/>
      <c r="AH178" s="2"/>
      <c r="AI178" s="2"/>
    </row>
    <row r="179" spans="1:35" ht="16.5" thickBot="1" x14ac:dyDescent="0.3">
      <c r="B179" s="22"/>
      <c r="D179" s="39"/>
      <c r="E179" s="40"/>
      <c r="F179" s="40"/>
      <c r="G179" s="41"/>
      <c r="H179" s="42">
        <f>SUM(H170:H178)</f>
        <v>757500</v>
      </c>
      <c r="I179" s="41"/>
      <c r="J179" s="42">
        <f>SUM(J170:J178)</f>
        <v>757500</v>
      </c>
      <c r="K179" s="42">
        <f t="shared" ref="K179:S179" si="45">SUM(K170:K178)</f>
        <v>0</v>
      </c>
      <c r="L179" s="42">
        <f t="shared" si="45"/>
        <v>0</v>
      </c>
      <c r="M179" s="42">
        <f t="shared" si="45"/>
        <v>0</v>
      </c>
      <c r="N179" s="42">
        <f t="shared" si="45"/>
        <v>0</v>
      </c>
      <c r="O179" s="186">
        <f t="shared" si="45"/>
        <v>0</v>
      </c>
      <c r="P179" s="42"/>
      <c r="Q179" s="42">
        <f t="shared" si="45"/>
        <v>0</v>
      </c>
      <c r="R179" s="42">
        <f t="shared" si="45"/>
        <v>0</v>
      </c>
      <c r="S179" s="42">
        <f t="shared" si="45"/>
        <v>15800</v>
      </c>
      <c r="T179" s="42">
        <f>SUM(T170:T178)</f>
        <v>741700</v>
      </c>
      <c r="U179" s="42"/>
      <c r="V179" s="40"/>
      <c r="X179" s="25"/>
    </row>
    <row r="180" spans="1:35" ht="16.5" thickTop="1" x14ac:dyDescent="0.25">
      <c r="A180" s="16" t="s">
        <v>691</v>
      </c>
      <c r="B180" s="22"/>
      <c r="C180" s="17"/>
      <c r="D180" s="18"/>
      <c r="E180" s="18"/>
      <c r="F180" s="17"/>
      <c r="G180" s="17"/>
      <c r="H180" s="17"/>
      <c r="I180" s="19"/>
      <c r="J180" s="17"/>
      <c r="K180" s="17"/>
      <c r="L180" s="17"/>
      <c r="M180" s="17"/>
      <c r="N180" s="17"/>
      <c r="O180" s="184"/>
      <c r="P180" s="17"/>
      <c r="Q180" s="17"/>
      <c r="R180" s="20"/>
      <c r="S180" s="21"/>
      <c r="T180" s="20"/>
      <c r="U180" s="17"/>
      <c r="V180" s="17"/>
      <c r="X180" s="25"/>
    </row>
    <row r="181" spans="1:35" ht="31.5" x14ac:dyDescent="0.25">
      <c r="A181" s="22">
        <v>1</v>
      </c>
      <c r="B181" s="22" t="s">
        <v>692</v>
      </c>
      <c r="C181" s="23" t="s">
        <v>693</v>
      </c>
      <c r="D181" s="24" t="s">
        <v>694</v>
      </c>
      <c r="E181" s="24" t="s">
        <v>695</v>
      </c>
      <c r="F181" s="25" t="s">
        <v>696</v>
      </c>
      <c r="G181" s="26">
        <v>44317</v>
      </c>
      <c r="H181" s="27">
        <v>125000</v>
      </c>
      <c r="I181" s="19">
        <v>30</v>
      </c>
      <c r="J181" s="27">
        <f t="shared" ref="J181:J189" si="46">H181/30*I181</f>
        <v>125000.00000000001</v>
      </c>
      <c r="K181" s="27">
        <v>25000</v>
      </c>
      <c r="L181" s="19"/>
      <c r="M181" s="28"/>
      <c r="N181" s="19"/>
      <c r="O181" s="185"/>
      <c r="P181" s="30"/>
      <c r="Q181" s="31"/>
      <c r="R181" s="31"/>
      <c r="S181" s="33">
        <v>3250</v>
      </c>
      <c r="T181" s="31">
        <f t="shared" ref="T181:T189" si="47">J181+K181+0+L181-N181-O181-Q181-R181-S181</f>
        <v>146750</v>
      </c>
      <c r="U181" s="134"/>
      <c r="V181" s="25">
        <v>1010414241</v>
      </c>
      <c r="X181" s="25">
        <v>347129211</v>
      </c>
    </row>
    <row r="182" spans="1:35" s="68" customFormat="1" x14ac:dyDescent="0.25">
      <c r="A182" s="19">
        <f t="shared" ref="A182:A189" si="48">1+A181</f>
        <v>2</v>
      </c>
      <c r="B182" s="22" t="s">
        <v>697</v>
      </c>
      <c r="C182" s="69" t="s">
        <v>698</v>
      </c>
      <c r="D182" s="66" t="s">
        <v>699</v>
      </c>
      <c r="E182" s="66" t="s">
        <v>700</v>
      </c>
      <c r="F182" s="66" t="s">
        <v>701</v>
      </c>
      <c r="G182" s="61">
        <v>44515</v>
      </c>
      <c r="H182" s="54">
        <v>200000</v>
      </c>
      <c r="I182" s="19">
        <v>30</v>
      </c>
      <c r="J182" s="54">
        <f t="shared" si="46"/>
        <v>200000</v>
      </c>
      <c r="K182" s="54"/>
      <c r="L182" s="55"/>
      <c r="M182" s="70"/>
      <c r="N182" s="55"/>
      <c r="O182" s="190"/>
      <c r="P182" s="79"/>
      <c r="Q182" s="71"/>
      <c r="R182" s="71"/>
      <c r="S182" s="72">
        <v>13500</v>
      </c>
      <c r="T182" s="31">
        <f t="shared" si="47"/>
        <v>186500</v>
      </c>
      <c r="U182" s="134"/>
      <c r="V182" s="66">
        <v>1010426400</v>
      </c>
      <c r="X182" s="25">
        <v>347129204</v>
      </c>
      <c r="AB182" s="2"/>
      <c r="AC182" s="2"/>
      <c r="AD182" s="2"/>
      <c r="AE182" s="2"/>
      <c r="AF182" s="2"/>
      <c r="AH182" s="2"/>
      <c r="AI182" s="2"/>
    </row>
    <row r="183" spans="1:35" s="68" customFormat="1" x14ac:dyDescent="0.25">
      <c r="A183" s="19">
        <f t="shared" si="48"/>
        <v>3</v>
      </c>
      <c r="B183" s="22" t="s">
        <v>702</v>
      </c>
      <c r="C183" s="69" t="s">
        <v>703</v>
      </c>
      <c r="D183" s="66" t="s">
        <v>704</v>
      </c>
      <c r="E183" s="66" t="s">
        <v>334</v>
      </c>
      <c r="F183" s="66" t="s">
        <v>705</v>
      </c>
      <c r="G183" s="61">
        <v>45568</v>
      </c>
      <c r="H183" s="54">
        <v>50000</v>
      </c>
      <c r="I183" s="19">
        <v>25</v>
      </c>
      <c r="J183" s="54">
        <f t="shared" si="46"/>
        <v>41666.666666666672</v>
      </c>
      <c r="K183" s="54">
        <f>(7000/30)*I183</f>
        <v>5833.3333333333339</v>
      </c>
      <c r="L183" s="55"/>
      <c r="M183" s="70"/>
      <c r="N183" s="55"/>
      <c r="O183" s="190">
        <v>10000</v>
      </c>
      <c r="P183" s="79">
        <v>60</v>
      </c>
      <c r="Q183" s="71"/>
      <c r="R183" s="32"/>
      <c r="S183" s="72">
        <v>0</v>
      </c>
      <c r="T183" s="31">
        <f t="shared" si="47"/>
        <v>37500.000000000007</v>
      </c>
      <c r="U183" s="134"/>
      <c r="V183" s="66"/>
      <c r="X183" s="25">
        <v>347129181</v>
      </c>
      <c r="AB183" s="2"/>
      <c r="AC183" s="2"/>
      <c r="AD183" s="2"/>
      <c r="AE183" s="2"/>
      <c r="AF183" s="2"/>
      <c r="AH183" s="2"/>
      <c r="AI183" s="2"/>
    </row>
    <row r="184" spans="1:35" s="68" customFormat="1" x14ac:dyDescent="0.25">
      <c r="A184" s="19">
        <f t="shared" si="48"/>
        <v>4</v>
      </c>
      <c r="B184" s="22" t="s">
        <v>706</v>
      </c>
      <c r="C184" s="69" t="s">
        <v>707</v>
      </c>
      <c r="D184" s="66" t="s">
        <v>530</v>
      </c>
      <c r="E184" s="66" t="s">
        <v>334</v>
      </c>
      <c r="F184" s="66" t="s">
        <v>708</v>
      </c>
      <c r="G184" s="61">
        <v>45566</v>
      </c>
      <c r="H184" s="54">
        <f>45000+15000</f>
        <v>60000</v>
      </c>
      <c r="I184" s="19">
        <v>30</v>
      </c>
      <c r="J184" s="54">
        <f t="shared" si="46"/>
        <v>60000</v>
      </c>
      <c r="K184" s="54"/>
      <c r="L184" s="55"/>
      <c r="M184" s="70"/>
      <c r="N184" s="55"/>
      <c r="O184" s="190"/>
      <c r="P184" s="79"/>
      <c r="Q184" s="71"/>
      <c r="R184" s="71"/>
      <c r="S184" s="72">
        <v>0</v>
      </c>
      <c r="T184" s="31">
        <f t="shared" si="47"/>
        <v>60000</v>
      </c>
      <c r="U184" s="134"/>
      <c r="V184" s="66">
        <v>1010414828</v>
      </c>
      <c r="X184" s="25">
        <v>347129174</v>
      </c>
      <c r="AB184" s="2"/>
      <c r="AC184" s="2"/>
      <c r="AD184" s="2"/>
      <c r="AE184" s="2"/>
      <c r="AF184" s="2"/>
      <c r="AH184" s="2"/>
      <c r="AI184" s="2"/>
    </row>
    <row r="185" spans="1:35" s="68" customFormat="1" x14ac:dyDescent="0.25">
      <c r="A185" s="19">
        <f t="shared" si="48"/>
        <v>5</v>
      </c>
      <c r="B185" s="22" t="s">
        <v>709</v>
      </c>
      <c r="C185" s="69" t="s">
        <v>710</v>
      </c>
      <c r="D185" s="66" t="s">
        <v>711</v>
      </c>
      <c r="E185" s="66" t="s">
        <v>300</v>
      </c>
      <c r="F185" s="66" t="s">
        <v>712</v>
      </c>
      <c r="G185" s="61">
        <v>45377</v>
      </c>
      <c r="H185" s="54">
        <v>65000</v>
      </c>
      <c r="I185" s="19">
        <v>30</v>
      </c>
      <c r="J185" s="54">
        <f t="shared" si="46"/>
        <v>64999.999999999993</v>
      </c>
      <c r="K185" s="54"/>
      <c r="L185" s="55"/>
      <c r="M185" s="70"/>
      <c r="N185" s="55"/>
      <c r="O185" s="190"/>
      <c r="P185" s="79"/>
      <c r="Q185" s="71"/>
      <c r="R185" s="32"/>
      <c r="S185" s="72">
        <v>0</v>
      </c>
      <c r="T185" s="31">
        <f t="shared" si="47"/>
        <v>64999.999999999993</v>
      </c>
      <c r="U185" s="134"/>
      <c r="V185" s="66">
        <v>1010414792</v>
      </c>
      <c r="X185" s="25">
        <v>347129143</v>
      </c>
      <c r="AB185" s="2"/>
      <c r="AC185" s="2"/>
      <c r="AD185" s="2"/>
      <c r="AE185" s="2"/>
      <c r="AF185" s="2"/>
      <c r="AH185" s="2"/>
      <c r="AI185" s="2"/>
    </row>
    <row r="186" spans="1:35" s="68" customFormat="1" x14ac:dyDescent="0.25">
      <c r="A186" s="19">
        <f t="shared" si="48"/>
        <v>6</v>
      </c>
      <c r="B186" s="22" t="s">
        <v>713</v>
      </c>
      <c r="C186" s="69" t="s">
        <v>714</v>
      </c>
      <c r="D186" s="66"/>
      <c r="E186" s="66" t="s">
        <v>300</v>
      </c>
      <c r="F186" s="66" t="s">
        <v>715</v>
      </c>
      <c r="G186" s="61">
        <v>45636</v>
      </c>
      <c r="H186" s="54">
        <v>65000</v>
      </c>
      <c r="I186" s="19">
        <v>30</v>
      </c>
      <c r="J186" s="54">
        <f t="shared" si="46"/>
        <v>64999.999999999993</v>
      </c>
      <c r="K186" s="54"/>
      <c r="L186" s="55"/>
      <c r="M186" s="70">
        <f>20000-10000-10000</f>
        <v>0</v>
      </c>
      <c r="N186" s="55"/>
      <c r="O186" s="190">
        <v>6000</v>
      </c>
      <c r="P186" s="80">
        <v>56</v>
      </c>
      <c r="Q186" s="71"/>
      <c r="R186" s="71"/>
      <c r="S186" s="72">
        <v>0</v>
      </c>
      <c r="T186" s="31">
        <f t="shared" si="47"/>
        <v>58999.999999999993</v>
      </c>
      <c r="U186" s="134"/>
      <c r="V186" s="66">
        <v>1010414716</v>
      </c>
      <c r="X186" s="25">
        <v>347129136</v>
      </c>
      <c r="AB186" s="2"/>
      <c r="AC186" s="2"/>
      <c r="AD186" s="2"/>
      <c r="AE186" s="2"/>
      <c r="AF186" s="2"/>
      <c r="AH186" s="2"/>
      <c r="AI186" s="2"/>
    </row>
    <row r="187" spans="1:35" s="68" customFormat="1" x14ac:dyDescent="0.25">
      <c r="A187" s="19">
        <f t="shared" si="48"/>
        <v>7</v>
      </c>
      <c r="B187" s="22" t="s">
        <v>716</v>
      </c>
      <c r="C187" s="69" t="s">
        <v>717</v>
      </c>
      <c r="D187" s="66" t="s">
        <v>718</v>
      </c>
      <c r="E187" s="66" t="s">
        <v>436</v>
      </c>
      <c r="F187" s="66" t="s">
        <v>719</v>
      </c>
      <c r="G187" s="61">
        <v>44967</v>
      </c>
      <c r="H187" s="54">
        <v>60000</v>
      </c>
      <c r="I187" s="19">
        <v>30</v>
      </c>
      <c r="J187" s="54">
        <f t="shared" si="46"/>
        <v>60000</v>
      </c>
      <c r="K187" s="54"/>
      <c r="L187" s="55"/>
      <c r="M187" s="70">
        <f>60000-5000-5000-5000-5000</f>
        <v>40000</v>
      </c>
      <c r="N187" s="55">
        <v>5000</v>
      </c>
      <c r="O187" s="190"/>
      <c r="P187" s="79"/>
      <c r="Q187" s="71"/>
      <c r="R187" s="32"/>
      <c r="S187" s="72">
        <v>0</v>
      </c>
      <c r="T187" s="31">
        <f t="shared" si="47"/>
        <v>55000</v>
      </c>
      <c r="U187" s="134"/>
      <c r="V187" s="66"/>
      <c r="X187" s="25">
        <v>347129129</v>
      </c>
      <c r="AB187" s="2"/>
      <c r="AC187" s="2"/>
      <c r="AD187" s="2"/>
      <c r="AE187" s="2"/>
      <c r="AF187" s="2"/>
      <c r="AH187" s="2"/>
      <c r="AI187" s="2"/>
    </row>
    <row r="188" spans="1:35" s="68" customFormat="1" x14ac:dyDescent="0.25">
      <c r="A188" s="19">
        <f t="shared" si="48"/>
        <v>8</v>
      </c>
      <c r="B188" s="22" t="s">
        <v>720</v>
      </c>
      <c r="C188" s="69" t="s">
        <v>721</v>
      </c>
      <c r="D188" s="66" t="s">
        <v>722</v>
      </c>
      <c r="E188" s="66" t="s">
        <v>723</v>
      </c>
      <c r="F188" s="66" t="s">
        <v>724</v>
      </c>
      <c r="G188" s="61">
        <v>44986</v>
      </c>
      <c r="H188" s="54">
        <v>45000</v>
      </c>
      <c r="I188" s="19">
        <v>30</v>
      </c>
      <c r="J188" s="54">
        <f t="shared" si="46"/>
        <v>45000</v>
      </c>
      <c r="K188" s="54"/>
      <c r="L188" s="55"/>
      <c r="M188" s="70">
        <f>45000-10000-10000-5000-5000-5000+2000-5000</f>
        <v>7000</v>
      </c>
      <c r="N188" s="55">
        <v>5000</v>
      </c>
      <c r="O188" s="190"/>
      <c r="P188" s="79"/>
      <c r="Q188" s="71"/>
      <c r="R188" s="32"/>
      <c r="S188" s="72">
        <v>0</v>
      </c>
      <c r="T188" s="31">
        <f t="shared" si="47"/>
        <v>40000</v>
      </c>
      <c r="U188" s="134"/>
      <c r="V188" s="66">
        <v>1010414332</v>
      </c>
      <c r="X188" s="25">
        <v>347129235</v>
      </c>
      <c r="AB188" s="2"/>
      <c r="AC188" s="2"/>
      <c r="AD188" s="2"/>
      <c r="AE188" s="2"/>
      <c r="AF188" s="2"/>
      <c r="AH188" s="2"/>
      <c r="AI188" s="2"/>
    </row>
    <row r="189" spans="1:35" s="68" customFormat="1" x14ac:dyDescent="0.25">
      <c r="A189" s="19">
        <f t="shared" si="48"/>
        <v>9</v>
      </c>
      <c r="B189" s="22" t="s">
        <v>725</v>
      </c>
      <c r="C189" s="69" t="s">
        <v>726</v>
      </c>
      <c r="D189" s="66" t="s">
        <v>727</v>
      </c>
      <c r="E189" s="66" t="s">
        <v>728</v>
      </c>
      <c r="F189" s="66" t="s">
        <v>729</v>
      </c>
      <c r="G189" s="61">
        <v>44958</v>
      </c>
      <c r="H189" s="54">
        <f>35000+5000</f>
        <v>40000</v>
      </c>
      <c r="I189" s="19">
        <v>30</v>
      </c>
      <c r="J189" s="54">
        <f t="shared" si="46"/>
        <v>40000</v>
      </c>
      <c r="K189" s="54"/>
      <c r="L189" s="54"/>
      <c r="M189" s="70">
        <f>15000-5000-5000</f>
        <v>5000</v>
      </c>
      <c r="N189" s="55">
        <v>5000</v>
      </c>
      <c r="O189" s="190"/>
      <c r="P189" s="79"/>
      <c r="Q189" s="71"/>
      <c r="R189" s="32"/>
      <c r="S189" s="72">
        <v>0</v>
      </c>
      <c r="T189" s="31">
        <f t="shared" si="47"/>
        <v>35000</v>
      </c>
      <c r="U189" s="134"/>
      <c r="V189" s="66">
        <v>1010424615</v>
      </c>
      <c r="X189" s="25">
        <v>347129228</v>
      </c>
      <c r="AA189" s="68" t="s">
        <v>730</v>
      </c>
      <c r="AB189" s="2"/>
      <c r="AC189" s="2"/>
      <c r="AD189" s="2"/>
      <c r="AE189" s="2"/>
      <c r="AF189" s="2"/>
      <c r="AH189" s="2"/>
      <c r="AI189" s="2"/>
    </row>
    <row r="190" spans="1:35" ht="16.5" thickBot="1" x14ac:dyDescent="0.3">
      <c r="B190" s="22"/>
      <c r="D190" s="39"/>
      <c r="E190" s="40"/>
      <c r="F190" s="40"/>
      <c r="G190" s="41"/>
      <c r="H190" s="42">
        <f>SUM(H181:H189)</f>
        <v>710000</v>
      </c>
      <c r="I190" s="41"/>
      <c r="J190" s="42">
        <f>SUM(J181:J189)</f>
        <v>701666.66666666663</v>
      </c>
      <c r="K190" s="42">
        <f t="shared" ref="K190:U190" si="49">SUM(K181:K189)</f>
        <v>30833.333333333336</v>
      </c>
      <c r="L190" s="42">
        <f t="shared" si="49"/>
        <v>0</v>
      </c>
      <c r="M190" s="42">
        <f t="shared" si="49"/>
        <v>52000</v>
      </c>
      <c r="N190" s="42">
        <f t="shared" si="49"/>
        <v>15000</v>
      </c>
      <c r="O190" s="186">
        <f t="shared" si="49"/>
        <v>16000</v>
      </c>
      <c r="P190" s="42"/>
      <c r="Q190" s="42">
        <f t="shared" si="49"/>
        <v>0</v>
      </c>
      <c r="R190" s="42">
        <f t="shared" si="49"/>
        <v>0</v>
      </c>
      <c r="S190" s="42">
        <f t="shared" si="49"/>
        <v>16750</v>
      </c>
      <c r="T190" s="42">
        <f>SUM(T181:T189)</f>
        <v>684750</v>
      </c>
      <c r="U190" s="42">
        <f t="shared" si="49"/>
        <v>0</v>
      </c>
      <c r="V190" s="40"/>
      <c r="X190" s="25"/>
    </row>
    <row r="191" spans="1:35" ht="16.5" thickTop="1" x14ac:dyDescent="0.25">
      <c r="A191" s="16" t="s">
        <v>731</v>
      </c>
      <c r="B191" s="22"/>
      <c r="C191" s="17"/>
      <c r="D191" s="18"/>
      <c r="E191" s="18"/>
      <c r="F191" s="17"/>
      <c r="G191" s="17"/>
      <c r="H191" s="17"/>
      <c r="I191" s="19"/>
      <c r="J191" s="17"/>
      <c r="K191" s="17"/>
      <c r="L191" s="17"/>
      <c r="M191" s="17"/>
      <c r="N191" s="17"/>
      <c r="O191" s="184"/>
      <c r="P191" s="17"/>
      <c r="Q191" s="17"/>
      <c r="R191" s="20"/>
      <c r="S191" s="21"/>
      <c r="T191" s="20"/>
      <c r="U191" s="17"/>
      <c r="V191" s="17"/>
      <c r="X191" s="25"/>
    </row>
    <row r="192" spans="1:35" s="68" customFormat="1" ht="31.5" x14ac:dyDescent="0.25">
      <c r="A192" s="22">
        <v>1</v>
      </c>
      <c r="B192" s="22" t="s">
        <v>732</v>
      </c>
      <c r="C192" s="84" t="s">
        <v>733</v>
      </c>
      <c r="D192" s="60" t="s">
        <v>734</v>
      </c>
      <c r="E192" s="66" t="s">
        <v>657</v>
      </c>
      <c r="F192" s="66" t="s">
        <v>735</v>
      </c>
      <c r="G192" s="61">
        <v>45566</v>
      </c>
      <c r="H192" s="54">
        <v>175000</v>
      </c>
      <c r="I192" s="19">
        <v>30</v>
      </c>
      <c r="J192" s="54">
        <f t="shared" ref="J192:J201" si="50">H192/30*I192</f>
        <v>175000</v>
      </c>
      <c r="K192" s="54">
        <f>(25000/30)*I192</f>
        <v>25000</v>
      </c>
      <c r="L192" s="55"/>
      <c r="M192" s="70"/>
      <c r="N192" s="55"/>
      <c r="O192" s="190"/>
      <c r="P192" s="79"/>
      <c r="Q192" s="71">
        <v>3780</v>
      </c>
      <c r="R192" s="56"/>
      <c r="S192" s="72">
        <v>4900</v>
      </c>
      <c r="T192" s="56">
        <f t="shared" ref="T192:T201" si="51">J192+K192+0+L192-N192-O192-Q192-R192-S192</f>
        <v>191320</v>
      </c>
      <c r="U192" s="134"/>
      <c r="V192" s="66">
        <v>1010355153</v>
      </c>
      <c r="W192" s="135"/>
      <c r="X192" s="25">
        <v>342709681</v>
      </c>
      <c r="AB192" s="2"/>
      <c r="AC192" s="2"/>
      <c r="AD192" s="2"/>
      <c r="AE192" s="2"/>
      <c r="AF192" s="2"/>
      <c r="AH192" s="2"/>
      <c r="AI192" s="2"/>
    </row>
    <row r="193" spans="1:35" s="68" customFormat="1" x14ac:dyDescent="0.25">
      <c r="A193" s="22">
        <f>1+A192</f>
        <v>2</v>
      </c>
      <c r="B193" s="22"/>
      <c r="C193" s="119" t="s">
        <v>736</v>
      </c>
      <c r="D193" s="66" t="s">
        <v>737</v>
      </c>
      <c r="E193" s="66" t="s">
        <v>657</v>
      </c>
      <c r="F193" s="60" t="s">
        <v>738</v>
      </c>
      <c r="G193" s="61">
        <v>46104</v>
      </c>
      <c r="H193" s="54">
        <v>125000</v>
      </c>
      <c r="I193" s="19">
        <v>30</v>
      </c>
      <c r="J193" s="54">
        <f t="shared" si="50"/>
        <v>125000.00000000001</v>
      </c>
      <c r="K193" s="54"/>
      <c r="L193" s="55"/>
      <c r="M193" s="70"/>
      <c r="N193" s="55"/>
      <c r="O193" s="190"/>
      <c r="P193" s="79"/>
      <c r="Q193" s="71"/>
      <c r="R193" s="56"/>
      <c r="S193" s="72"/>
      <c r="T193" s="56">
        <f t="shared" si="51"/>
        <v>125000.00000000001</v>
      </c>
      <c r="U193" s="134"/>
      <c r="V193" s="60"/>
      <c r="X193" s="25"/>
      <c r="AB193" s="2"/>
      <c r="AC193" s="2"/>
      <c r="AD193" s="2"/>
      <c r="AE193" s="2"/>
      <c r="AF193" s="2"/>
      <c r="AH193" s="2"/>
      <c r="AI193" s="2"/>
    </row>
    <row r="194" spans="1:35" s="68" customFormat="1" x14ac:dyDescent="0.25">
      <c r="A194" s="22">
        <f t="shared" ref="A194:A201" si="52">1+A193</f>
        <v>3</v>
      </c>
      <c r="B194" s="22" t="s">
        <v>739</v>
      </c>
      <c r="C194" s="119" t="s">
        <v>740</v>
      </c>
      <c r="D194" s="66" t="s">
        <v>741</v>
      </c>
      <c r="E194" s="66" t="s">
        <v>657</v>
      </c>
      <c r="F194" s="60" t="s">
        <v>742</v>
      </c>
      <c r="G194" s="61">
        <v>46035</v>
      </c>
      <c r="H194" s="54">
        <v>120000</v>
      </c>
      <c r="I194" s="123"/>
      <c r="J194" s="54">
        <f t="shared" si="50"/>
        <v>0</v>
      </c>
      <c r="K194" s="54"/>
      <c r="L194" s="55"/>
      <c r="M194" s="54"/>
      <c r="N194" s="55"/>
      <c r="O194" s="190"/>
      <c r="P194" s="79"/>
      <c r="Q194" s="54"/>
      <c r="R194" s="56"/>
      <c r="S194" s="72"/>
      <c r="T194" s="56">
        <f t="shared" si="51"/>
        <v>0</v>
      </c>
      <c r="U194" s="136" t="s">
        <v>743</v>
      </c>
      <c r="V194" s="60"/>
      <c r="X194" s="25"/>
      <c r="AB194" s="2"/>
      <c r="AC194" s="2"/>
      <c r="AD194" s="2"/>
      <c r="AE194" s="2"/>
      <c r="AF194" s="2"/>
      <c r="AH194" s="2"/>
      <c r="AI194" s="2"/>
    </row>
    <row r="195" spans="1:35" s="68" customFormat="1" ht="31.5" x14ac:dyDescent="0.25">
      <c r="A195" s="22">
        <f t="shared" si="52"/>
        <v>4</v>
      </c>
      <c r="B195" s="22" t="s">
        <v>744</v>
      </c>
      <c r="C195" s="84" t="s">
        <v>745</v>
      </c>
      <c r="D195" s="60" t="s">
        <v>746</v>
      </c>
      <c r="E195" s="66" t="s">
        <v>747</v>
      </c>
      <c r="F195" s="66" t="s">
        <v>748</v>
      </c>
      <c r="G195" s="61">
        <v>45931</v>
      </c>
      <c r="H195" s="54">
        <f>85000+15000</f>
        <v>100000</v>
      </c>
      <c r="I195" s="19">
        <v>30</v>
      </c>
      <c r="J195" s="54">
        <f t="shared" si="50"/>
        <v>100000</v>
      </c>
      <c r="K195" s="54"/>
      <c r="L195" s="55"/>
      <c r="M195" s="70"/>
      <c r="N195" s="55"/>
      <c r="O195" s="190"/>
      <c r="P195" s="79"/>
      <c r="Q195" s="71"/>
      <c r="R195" s="56"/>
      <c r="S195" s="72">
        <v>500</v>
      </c>
      <c r="T195" s="56">
        <f t="shared" si="51"/>
        <v>99500</v>
      </c>
      <c r="U195" s="134"/>
      <c r="V195" s="66"/>
      <c r="W195" s="135"/>
      <c r="X195" s="25">
        <v>342709643</v>
      </c>
      <c r="AB195" s="2"/>
      <c r="AC195" s="2"/>
      <c r="AD195" s="2"/>
      <c r="AE195" s="2"/>
      <c r="AF195" s="2"/>
      <c r="AH195" s="2"/>
      <c r="AI195" s="2"/>
    </row>
    <row r="196" spans="1:35" s="68" customFormat="1" x14ac:dyDescent="0.25">
      <c r="A196" s="22">
        <f t="shared" si="52"/>
        <v>5</v>
      </c>
      <c r="B196" s="22"/>
      <c r="C196" s="84" t="s">
        <v>749</v>
      </c>
      <c r="D196" s="60" t="s">
        <v>750</v>
      </c>
      <c r="E196" s="66" t="s">
        <v>751</v>
      </c>
      <c r="F196" s="66" t="s">
        <v>752</v>
      </c>
      <c r="G196" s="121">
        <v>46265</v>
      </c>
      <c r="H196" s="54">
        <f>85000+15000</f>
        <v>100000</v>
      </c>
      <c r="I196" s="123">
        <f>30+10</f>
        <v>40</v>
      </c>
      <c r="J196" s="54">
        <f t="shared" si="50"/>
        <v>133333.33333333334</v>
      </c>
      <c r="K196" s="54"/>
      <c r="L196" s="55"/>
      <c r="M196" s="70"/>
      <c r="N196" s="55"/>
      <c r="O196" s="190"/>
      <c r="P196" s="79"/>
      <c r="Q196" s="71">
        <v>449</v>
      </c>
      <c r="R196" s="56"/>
      <c r="S196" s="72">
        <v>500</v>
      </c>
      <c r="T196" s="56">
        <f t="shared" si="51"/>
        <v>132384.33333333334</v>
      </c>
      <c r="U196" s="137" t="s">
        <v>753</v>
      </c>
      <c r="V196" s="66"/>
      <c r="W196" s="135"/>
      <c r="X196" s="25"/>
      <c r="AB196" s="2"/>
      <c r="AC196" s="2"/>
      <c r="AD196" s="2"/>
      <c r="AE196" s="2"/>
      <c r="AF196" s="2"/>
      <c r="AH196" s="2"/>
      <c r="AI196" s="2"/>
    </row>
    <row r="197" spans="1:35" s="68" customFormat="1" x14ac:dyDescent="0.25">
      <c r="A197" s="22">
        <f t="shared" si="52"/>
        <v>6</v>
      </c>
      <c r="B197" s="22" t="s">
        <v>754</v>
      </c>
      <c r="C197" s="69" t="s">
        <v>755</v>
      </c>
      <c r="D197" s="66" t="s">
        <v>756</v>
      </c>
      <c r="E197" s="66" t="s">
        <v>757</v>
      </c>
      <c r="F197" s="66" t="s">
        <v>758</v>
      </c>
      <c r="G197" s="61">
        <v>45692</v>
      </c>
      <c r="H197" s="54">
        <v>100000</v>
      </c>
      <c r="I197" s="19">
        <v>30</v>
      </c>
      <c r="J197" s="54">
        <f t="shared" si="50"/>
        <v>100000</v>
      </c>
      <c r="K197" s="54"/>
      <c r="L197" s="55"/>
      <c r="M197" s="70"/>
      <c r="N197" s="55"/>
      <c r="O197" s="190"/>
      <c r="P197" s="79"/>
      <c r="Q197" s="71"/>
      <c r="R197" s="56"/>
      <c r="S197" s="72">
        <v>500</v>
      </c>
      <c r="T197" s="56">
        <f t="shared" si="51"/>
        <v>99500</v>
      </c>
      <c r="U197" s="134"/>
      <c r="V197" s="66">
        <v>1010350092</v>
      </c>
      <c r="X197" s="25">
        <v>342709629</v>
      </c>
      <c r="AB197" s="2"/>
      <c r="AC197" s="2"/>
      <c r="AD197" s="2"/>
      <c r="AE197" s="2"/>
      <c r="AF197" s="2"/>
      <c r="AH197" s="2"/>
      <c r="AI197" s="2"/>
    </row>
    <row r="198" spans="1:35" s="68" customFormat="1" x14ac:dyDescent="0.25">
      <c r="A198" s="22">
        <f t="shared" si="52"/>
        <v>7</v>
      </c>
      <c r="B198" s="22" t="s">
        <v>759</v>
      </c>
      <c r="C198" s="119" t="s">
        <v>760</v>
      </c>
      <c r="D198" s="66" t="s">
        <v>761</v>
      </c>
      <c r="E198" s="66" t="s">
        <v>762</v>
      </c>
      <c r="F198" s="60" t="s">
        <v>763</v>
      </c>
      <c r="G198" s="61">
        <v>46056</v>
      </c>
      <c r="H198" s="54">
        <f>60000+40000</f>
        <v>100000</v>
      </c>
      <c r="I198" s="19">
        <v>30</v>
      </c>
      <c r="J198" s="54">
        <f t="shared" si="50"/>
        <v>100000</v>
      </c>
      <c r="K198" s="54"/>
      <c r="L198" s="55"/>
      <c r="M198" s="70"/>
      <c r="N198" s="55"/>
      <c r="O198" s="190"/>
      <c r="P198" s="79"/>
      <c r="Q198" s="71"/>
      <c r="R198" s="56"/>
      <c r="S198" s="72"/>
      <c r="T198" s="56">
        <f t="shared" si="51"/>
        <v>100000</v>
      </c>
      <c r="U198" s="134"/>
      <c r="V198" s="60"/>
      <c r="X198" s="25"/>
      <c r="AA198" s="68" t="s">
        <v>764</v>
      </c>
      <c r="AB198" s="2"/>
      <c r="AC198" s="2"/>
      <c r="AD198" s="2"/>
      <c r="AE198" s="2"/>
      <c r="AF198" s="2"/>
      <c r="AH198" s="2"/>
      <c r="AI198" s="2"/>
    </row>
    <row r="199" spans="1:35" s="68" customFormat="1" ht="31.5" x14ac:dyDescent="0.25">
      <c r="A199" s="22">
        <f t="shared" si="52"/>
        <v>8</v>
      </c>
      <c r="B199" s="22"/>
      <c r="C199" s="119" t="s">
        <v>765</v>
      </c>
      <c r="D199" s="66" t="s">
        <v>766</v>
      </c>
      <c r="E199" s="66" t="s">
        <v>757</v>
      </c>
      <c r="F199" s="60" t="s">
        <v>767</v>
      </c>
      <c r="G199" s="61">
        <v>46125</v>
      </c>
      <c r="H199" s="54">
        <v>100000</v>
      </c>
      <c r="I199" s="19">
        <v>30</v>
      </c>
      <c r="J199" s="54">
        <f t="shared" si="50"/>
        <v>100000</v>
      </c>
      <c r="K199" s="54">
        <f>833.333333333333*I199</f>
        <v>24999.999999999993</v>
      </c>
      <c r="L199" s="55"/>
      <c r="M199" s="70"/>
      <c r="N199" s="55"/>
      <c r="O199" s="190"/>
      <c r="P199" s="79"/>
      <c r="Q199" s="71"/>
      <c r="R199" s="56"/>
      <c r="S199" s="72"/>
      <c r="T199" s="56">
        <f t="shared" si="51"/>
        <v>125000</v>
      </c>
      <c r="U199" s="134"/>
      <c r="V199" s="60"/>
      <c r="X199" s="25">
        <v>349455565</v>
      </c>
      <c r="AB199" s="2"/>
      <c r="AC199" s="2"/>
      <c r="AD199" s="2"/>
      <c r="AE199" s="2"/>
      <c r="AF199" s="2"/>
      <c r="AH199" s="2"/>
      <c r="AI199" s="2"/>
    </row>
    <row r="200" spans="1:35" s="68" customFormat="1" x14ac:dyDescent="0.25">
      <c r="A200" s="22">
        <f t="shared" si="52"/>
        <v>9</v>
      </c>
      <c r="B200" s="22"/>
      <c r="C200" s="119" t="s">
        <v>768</v>
      </c>
      <c r="D200" s="66" t="s">
        <v>769</v>
      </c>
      <c r="E200" s="66" t="s">
        <v>757</v>
      </c>
      <c r="F200" s="60" t="s">
        <v>770</v>
      </c>
      <c r="G200" s="61">
        <v>46161</v>
      </c>
      <c r="H200" s="54">
        <v>70000</v>
      </c>
      <c r="I200" s="19">
        <v>30</v>
      </c>
      <c r="J200" s="54">
        <f t="shared" si="50"/>
        <v>70000</v>
      </c>
      <c r="K200" s="54"/>
      <c r="L200" s="55"/>
      <c r="M200" s="70"/>
      <c r="N200" s="55"/>
      <c r="O200" s="190"/>
      <c r="P200" s="79"/>
      <c r="Q200" s="71"/>
      <c r="R200" s="56"/>
      <c r="S200" s="72"/>
      <c r="T200" s="56">
        <f t="shared" si="51"/>
        <v>70000</v>
      </c>
      <c r="U200" s="134"/>
      <c r="V200" s="60"/>
      <c r="W200" s="138" t="s">
        <v>771</v>
      </c>
      <c r="X200" s="25"/>
      <c r="AB200" s="2"/>
      <c r="AC200" s="2"/>
      <c r="AD200" s="2"/>
      <c r="AE200" s="2"/>
      <c r="AF200" s="2"/>
      <c r="AH200" s="2"/>
      <c r="AI200" s="2"/>
    </row>
    <row r="201" spans="1:35" s="68" customFormat="1" x14ac:dyDescent="0.25">
      <c r="A201" s="22">
        <f t="shared" si="52"/>
        <v>10</v>
      </c>
      <c r="B201" s="22" t="s">
        <v>772</v>
      </c>
      <c r="C201" s="119" t="s">
        <v>773</v>
      </c>
      <c r="D201" s="66" t="s">
        <v>774</v>
      </c>
      <c r="E201" s="66" t="s">
        <v>775</v>
      </c>
      <c r="F201" s="60" t="s">
        <v>776</v>
      </c>
      <c r="G201" s="61">
        <v>46025</v>
      </c>
      <c r="H201" s="54">
        <v>50000</v>
      </c>
      <c r="I201" s="19">
        <v>30</v>
      </c>
      <c r="J201" s="54">
        <f t="shared" si="50"/>
        <v>50000</v>
      </c>
      <c r="K201" s="54"/>
      <c r="L201" s="55"/>
      <c r="M201" s="54"/>
      <c r="N201" s="55"/>
      <c r="O201" s="190"/>
      <c r="P201" s="79"/>
      <c r="Q201" s="54"/>
      <c r="R201" s="56"/>
      <c r="S201" s="72"/>
      <c r="T201" s="56">
        <f t="shared" si="51"/>
        <v>50000</v>
      </c>
      <c r="U201" s="134"/>
      <c r="V201" s="60"/>
      <c r="X201" s="25"/>
      <c r="AB201" s="2"/>
      <c r="AC201" s="2"/>
      <c r="AD201" s="2"/>
      <c r="AE201" s="2"/>
      <c r="AF201" s="2"/>
      <c r="AH201" s="2"/>
      <c r="AI201" s="2"/>
    </row>
    <row r="202" spans="1:35" ht="16.5" thickBot="1" x14ac:dyDescent="0.3">
      <c r="B202" s="22"/>
      <c r="D202" s="39"/>
      <c r="E202" s="40"/>
      <c r="F202" s="40"/>
      <c r="G202" s="41"/>
      <c r="H202" s="42">
        <f>SUM(H192:H201)</f>
        <v>1040000</v>
      </c>
      <c r="I202" s="41"/>
      <c r="J202" s="42">
        <f t="shared" ref="J202:O202" si="53">SUM(J192:J201)</f>
        <v>953333.33333333337</v>
      </c>
      <c r="K202" s="42">
        <f t="shared" si="53"/>
        <v>49999.999999999993</v>
      </c>
      <c r="L202" s="42">
        <f t="shared" si="53"/>
        <v>0</v>
      </c>
      <c r="M202" s="42">
        <f t="shared" si="53"/>
        <v>0</v>
      </c>
      <c r="N202" s="42">
        <f t="shared" si="53"/>
        <v>0</v>
      </c>
      <c r="O202" s="186">
        <f t="shared" si="53"/>
        <v>0</v>
      </c>
      <c r="P202" s="42"/>
      <c r="Q202" s="42">
        <f>SUM(Q192:Q201)</f>
        <v>4229</v>
      </c>
      <c r="R202" s="42">
        <f>SUM(R192:R201)</f>
        <v>0</v>
      </c>
      <c r="S202" s="42">
        <f>SUM(S192:S201)</f>
        <v>6400</v>
      </c>
      <c r="T202" s="42">
        <f>SUM(T192:T201)</f>
        <v>992704.33333333337</v>
      </c>
      <c r="U202" s="42">
        <f>SUM(U192:U197)</f>
        <v>0</v>
      </c>
      <c r="V202" s="40"/>
      <c r="X202" s="25"/>
    </row>
    <row r="203" spans="1:35" ht="16.5" thickTop="1" x14ac:dyDescent="0.25">
      <c r="A203" s="16" t="s">
        <v>777</v>
      </c>
      <c r="B203" s="22"/>
      <c r="C203" s="17"/>
      <c r="D203" s="18"/>
      <c r="E203" s="18"/>
      <c r="F203" s="17"/>
      <c r="G203" s="17"/>
      <c r="H203" s="17"/>
      <c r="I203" s="19"/>
      <c r="J203" s="17"/>
      <c r="K203" s="17"/>
      <c r="L203" s="17"/>
      <c r="M203" s="17"/>
      <c r="N203" s="17"/>
      <c r="O203" s="184"/>
      <c r="P203" s="17"/>
      <c r="Q203" s="17"/>
      <c r="R203" s="20"/>
      <c r="S203" s="21"/>
      <c r="T203" s="20"/>
      <c r="U203" s="17"/>
      <c r="V203" s="17"/>
      <c r="X203" s="25"/>
    </row>
    <row r="204" spans="1:35" s="68" customFormat="1" x14ac:dyDescent="0.25">
      <c r="A204" s="139">
        <v>1</v>
      </c>
      <c r="B204" s="22" t="s">
        <v>778</v>
      </c>
      <c r="C204" s="69" t="s">
        <v>779</v>
      </c>
      <c r="D204" s="66" t="s">
        <v>780</v>
      </c>
      <c r="E204" s="66" t="s">
        <v>781</v>
      </c>
      <c r="F204" s="66" t="s">
        <v>782</v>
      </c>
      <c r="G204" s="61">
        <v>45133</v>
      </c>
      <c r="H204" s="54">
        <f>90000+25000</f>
        <v>115000</v>
      </c>
      <c r="I204" s="19">
        <v>30</v>
      </c>
      <c r="J204" s="54">
        <f>H204/30*I204</f>
        <v>115000</v>
      </c>
      <c r="K204" s="54"/>
      <c r="L204" s="55"/>
      <c r="M204" s="54"/>
      <c r="N204" s="55"/>
      <c r="O204" s="188"/>
      <c r="P204" s="54"/>
      <c r="Q204" s="54">
        <v>2237</v>
      </c>
      <c r="R204" s="56"/>
      <c r="S204" s="72">
        <v>400</v>
      </c>
      <c r="T204" s="56">
        <f>J204+K204+0+L204-N204-O204-Q204-R204-S204</f>
        <v>112363</v>
      </c>
      <c r="U204" s="105"/>
      <c r="V204" s="140">
        <v>1010368964</v>
      </c>
      <c r="W204" s="2"/>
      <c r="X204" s="25"/>
      <c r="AB204" s="2"/>
      <c r="AC204" s="2"/>
      <c r="AD204" s="2"/>
      <c r="AE204" s="2"/>
      <c r="AF204" s="2"/>
      <c r="AH204" s="2"/>
      <c r="AI204" s="2"/>
    </row>
    <row r="205" spans="1:35" s="68" customFormat="1" x14ac:dyDescent="0.25">
      <c r="A205" s="139">
        <v>2</v>
      </c>
      <c r="B205" s="22" t="s">
        <v>783</v>
      </c>
      <c r="C205" s="69" t="s">
        <v>784</v>
      </c>
      <c r="D205" s="66" t="s">
        <v>785</v>
      </c>
      <c r="E205" s="66" t="s">
        <v>786</v>
      </c>
      <c r="F205" s="66" t="s">
        <v>787</v>
      </c>
      <c r="G205" s="61">
        <v>45966</v>
      </c>
      <c r="H205" s="54">
        <v>70000</v>
      </c>
      <c r="I205" s="19">
        <v>30</v>
      </c>
      <c r="J205" s="54">
        <f>H205/30*I205</f>
        <v>70000</v>
      </c>
      <c r="K205" s="54"/>
      <c r="L205" s="55"/>
      <c r="M205" s="54"/>
      <c r="N205" s="55"/>
      <c r="O205" s="188"/>
      <c r="P205" s="54"/>
      <c r="Q205" s="54">
        <v>2960</v>
      </c>
      <c r="R205" s="56"/>
      <c r="S205" s="72">
        <v>200</v>
      </c>
      <c r="T205" s="56">
        <f>J205+K205+0+L205-N205-O205-Q205-R205-S205</f>
        <v>66840</v>
      </c>
      <c r="U205" s="105"/>
      <c r="V205" s="140"/>
      <c r="W205" s="2"/>
      <c r="X205" s="25">
        <v>343505592</v>
      </c>
      <c r="Y205" s="141"/>
      <c r="AB205" s="2"/>
      <c r="AC205" s="2"/>
      <c r="AD205" s="2"/>
      <c r="AE205" s="2"/>
      <c r="AF205" s="2"/>
      <c r="AH205" s="2"/>
      <c r="AI205" s="2"/>
    </row>
    <row r="206" spans="1:35" s="68" customFormat="1" ht="16.5" thickBot="1" x14ac:dyDescent="0.3">
      <c r="A206" s="142">
        <v>3</v>
      </c>
      <c r="B206" s="22" t="s">
        <v>788</v>
      </c>
      <c r="C206" s="143" t="s">
        <v>789</v>
      </c>
      <c r="D206" s="144" t="s">
        <v>718</v>
      </c>
      <c r="E206" s="144" t="s">
        <v>790</v>
      </c>
      <c r="F206" s="144" t="s">
        <v>791</v>
      </c>
      <c r="G206" s="145">
        <v>44176</v>
      </c>
      <c r="H206" s="146">
        <f>55000+5000</f>
        <v>60000</v>
      </c>
      <c r="I206" s="19">
        <v>30</v>
      </c>
      <c r="J206" s="54">
        <f>H206/30*I206</f>
        <v>60000</v>
      </c>
      <c r="K206" s="54"/>
      <c r="L206" s="55"/>
      <c r="M206" s="54"/>
      <c r="N206" s="55"/>
      <c r="O206" s="188"/>
      <c r="P206" s="54"/>
      <c r="Q206" s="54">
        <v>8225</v>
      </c>
      <c r="R206" s="56"/>
      <c r="S206" s="72"/>
      <c r="T206" s="56">
        <f>J206+K206+0+L206-N206-O206-Q206-R206-S206</f>
        <v>51775</v>
      </c>
      <c r="U206" s="147"/>
      <c r="V206" s="148">
        <v>1010387505</v>
      </c>
      <c r="X206" s="25">
        <v>342710414</v>
      </c>
      <c r="AB206" s="2"/>
      <c r="AC206" s="2"/>
      <c r="AD206" s="2"/>
      <c r="AE206" s="2"/>
      <c r="AF206" s="2"/>
      <c r="AH206" s="2"/>
      <c r="AI206" s="2"/>
    </row>
    <row r="207" spans="1:35" ht="16.5" thickBot="1" x14ac:dyDescent="0.3">
      <c r="B207" s="22"/>
      <c r="D207" s="39"/>
      <c r="E207" s="40"/>
      <c r="F207" s="40"/>
      <c r="G207" s="41"/>
      <c r="H207" s="42">
        <f>SUM(H204:H206)</f>
        <v>245000</v>
      </c>
      <c r="I207" s="41"/>
      <c r="J207" s="42">
        <f>SUM(J204:J206)</f>
        <v>245000</v>
      </c>
      <c r="K207" s="42">
        <f t="shared" ref="K207:S207" si="54">SUM(K204:K206)</f>
        <v>0</v>
      </c>
      <c r="L207" s="42">
        <f t="shared" si="54"/>
        <v>0</v>
      </c>
      <c r="M207" s="42">
        <f t="shared" si="54"/>
        <v>0</v>
      </c>
      <c r="N207" s="42">
        <f t="shared" si="54"/>
        <v>0</v>
      </c>
      <c r="O207" s="186">
        <f t="shared" si="54"/>
        <v>0</v>
      </c>
      <c r="P207" s="42"/>
      <c r="Q207" s="42">
        <f t="shared" si="54"/>
        <v>13422</v>
      </c>
      <c r="R207" s="42">
        <f>SUM(R204:R206)</f>
        <v>0</v>
      </c>
      <c r="S207" s="42">
        <f t="shared" si="54"/>
        <v>600</v>
      </c>
      <c r="T207" s="42">
        <f>SUM(T204:T206)</f>
        <v>230978</v>
      </c>
      <c r="U207" s="42"/>
      <c r="V207" s="40"/>
      <c r="X207" s="25"/>
    </row>
    <row r="208" spans="1:35" ht="16.5" thickTop="1" x14ac:dyDescent="0.25">
      <c r="A208" s="16" t="s">
        <v>792</v>
      </c>
      <c r="B208" s="22"/>
      <c r="C208" s="17"/>
      <c r="D208" s="18"/>
      <c r="E208" s="18"/>
      <c r="F208" s="17"/>
      <c r="G208" s="17"/>
      <c r="H208" s="17"/>
      <c r="I208" s="19"/>
      <c r="J208" s="17"/>
      <c r="K208" s="17"/>
      <c r="L208" s="17"/>
      <c r="M208" s="17"/>
      <c r="N208" s="17"/>
      <c r="O208" s="184"/>
      <c r="P208" s="17"/>
      <c r="Q208" s="17"/>
      <c r="R208" s="20"/>
      <c r="S208" s="21"/>
      <c r="T208" s="20"/>
      <c r="U208" s="17"/>
      <c r="V208" s="17"/>
      <c r="X208" s="25"/>
    </row>
    <row r="209" spans="1:1000" ht="31.5" x14ac:dyDescent="0.25">
      <c r="A209" s="139">
        <v>1</v>
      </c>
      <c r="B209" s="22" t="s">
        <v>793</v>
      </c>
      <c r="C209" s="149" t="s">
        <v>794</v>
      </c>
      <c r="D209" s="60" t="s">
        <v>795</v>
      </c>
      <c r="E209" s="60" t="s">
        <v>796</v>
      </c>
      <c r="F209" s="25" t="s">
        <v>797</v>
      </c>
      <c r="G209" s="61">
        <v>46011</v>
      </c>
      <c r="H209" s="54">
        <f>80000+20000</f>
        <v>100000</v>
      </c>
      <c r="I209" s="19">
        <v>30</v>
      </c>
      <c r="J209" s="54">
        <f t="shared" ref="J209:J218" si="55">H209/30*I209</f>
        <v>100000</v>
      </c>
      <c r="K209" s="54"/>
      <c r="L209" s="55"/>
      <c r="M209" s="54"/>
      <c r="N209" s="55"/>
      <c r="O209" s="188"/>
      <c r="P209" s="54"/>
      <c r="Q209" s="55"/>
      <c r="R209" s="32"/>
      <c r="S209" s="57">
        <v>500</v>
      </c>
      <c r="T209" s="56">
        <f>J209+K209+0+L209-N209-O209-Q209-R209-S209</f>
        <v>99500</v>
      </c>
      <c r="U209" s="90" t="s">
        <v>798</v>
      </c>
      <c r="V209" s="87"/>
      <c r="X209" s="25">
        <v>3247285181</v>
      </c>
      <c r="AA209" s="2" t="s">
        <v>799</v>
      </c>
    </row>
    <row r="210" spans="1:1000" s="128" customFormat="1" x14ac:dyDescent="0.25">
      <c r="A210" s="150">
        <f t="shared" ref="A210:A218" si="56">1+A209</f>
        <v>2</v>
      </c>
      <c r="B210" s="151" t="s">
        <v>800</v>
      </c>
      <c r="C210" s="59" t="s">
        <v>801</v>
      </c>
      <c r="D210" s="152" t="s">
        <v>802</v>
      </c>
      <c r="E210" s="152" t="s">
        <v>803</v>
      </c>
      <c r="F210" s="153" t="s">
        <v>804</v>
      </c>
      <c r="G210" s="154">
        <v>44713</v>
      </c>
      <c r="H210" s="127">
        <f>37500+2500</f>
        <v>40000</v>
      </c>
      <c r="I210" s="19">
        <v>30</v>
      </c>
      <c r="J210" s="54">
        <f t="shared" si="55"/>
        <v>40000</v>
      </c>
      <c r="K210" s="127"/>
      <c r="L210" s="155"/>
      <c r="M210" s="127"/>
      <c r="N210" s="155"/>
      <c r="O210" s="194">
        <v>20000</v>
      </c>
      <c r="P210" s="156">
        <v>35</v>
      </c>
      <c r="Q210" s="127"/>
      <c r="R210" s="157"/>
      <c r="S210" s="158">
        <v>0</v>
      </c>
      <c r="T210" s="56">
        <f t="shared" ref="T210:T217" si="57">J210+K210+0+L210-N210-O210-Q210-R210-S210</f>
        <v>20000</v>
      </c>
      <c r="U210" s="159"/>
      <c r="V210" s="160"/>
      <c r="W210" s="161"/>
      <c r="X210" s="162"/>
      <c r="AB210" s="2"/>
      <c r="AC210" s="2"/>
      <c r="AD210" s="2"/>
      <c r="AE210" s="2"/>
      <c r="AF210" s="2"/>
      <c r="AH210" s="2"/>
      <c r="AI210" s="2"/>
      <c r="ALI210" s="163"/>
      <c r="ALJ210" s="163"/>
      <c r="ALK210" s="163"/>
      <c r="ALL210" s="163"/>
    </row>
    <row r="211" spans="1:1000" x14ac:dyDescent="0.25">
      <c r="A211" s="150">
        <f t="shared" si="56"/>
        <v>3</v>
      </c>
      <c r="B211" s="22" t="s">
        <v>805</v>
      </c>
      <c r="C211" s="59" t="s">
        <v>806</v>
      </c>
      <c r="D211" s="60" t="s">
        <v>807</v>
      </c>
      <c r="E211" s="60" t="s">
        <v>803</v>
      </c>
      <c r="F211" s="25" t="s">
        <v>808</v>
      </c>
      <c r="G211" s="61">
        <v>44770</v>
      </c>
      <c r="H211" s="54">
        <v>40000</v>
      </c>
      <c r="I211" s="19">
        <v>30</v>
      </c>
      <c r="J211" s="54">
        <f t="shared" si="55"/>
        <v>40000</v>
      </c>
      <c r="K211" s="54"/>
      <c r="L211" s="55"/>
      <c r="M211" s="54"/>
      <c r="N211" s="55"/>
      <c r="O211" s="188"/>
      <c r="P211" s="54"/>
      <c r="Q211" s="55"/>
      <c r="R211" s="56"/>
      <c r="S211" s="57">
        <v>0</v>
      </c>
      <c r="T211" s="56">
        <f t="shared" si="57"/>
        <v>40000</v>
      </c>
      <c r="U211" s="87"/>
      <c r="V211" s="87"/>
      <c r="X211" s="25">
        <v>342710391</v>
      </c>
    </row>
    <row r="212" spans="1:1000" x14ac:dyDescent="0.25">
      <c r="A212" s="150">
        <f t="shared" si="56"/>
        <v>4</v>
      </c>
      <c r="B212" s="22" t="s">
        <v>809</v>
      </c>
      <c r="C212" s="59" t="s">
        <v>810</v>
      </c>
      <c r="D212" s="60" t="s">
        <v>811</v>
      </c>
      <c r="E212" s="60" t="s">
        <v>803</v>
      </c>
      <c r="F212" s="25" t="s">
        <v>812</v>
      </c>
      <c r="G212" s="61">
        <v>44900</v>
      </c>
      <c r="H212" s="54">
        <v>40000</v>
      </c>
      <c r="I212" s="19">
        <v>30</v>
      </c>
      <c r="J212" s="54">
        <f t="shared" si="55"/>
        <v>40000</v>
      </c>
      <c r="K212" s="54"/>
      <c r="L212" s="55"/>
      <c r="M212" s="54"/>
      <c r="N212" s="55"/>
      <c r="O212" s="188">
        <v>20000</v>
      </c>
      <c r="P212" s="95">
        <v>14</v>
      </c>
      <c r="Q212" s="55"/>
      <c r="R212" s="56"/>
      <c r="S212" s="57">
        <v>0</v>
      </c>
      <c r="T212" s="56">
        <f t="shared" si="57"/>
        <v>20000</v>
      </c>
      <c r="U212" s="87"/>
      <c r="V212" s="87">
        <v>1010368927</v>
      </c>
      <c r="X212" s="25">
        <v>342710353</v>
      </c>
    </row>
    <row r="213" spans="1:1000" s="2" customFormat="1" x14ac:dyDescent="0.25">
      <c r="A213" s="150">
        <f t="shared" si="56"/>
        <v>5</v>
      </c>
      <c r="B213" s="22"/>
      <c r="C213" s="149" t="s">
        <v>813</v>
      </c>
      <c r="D213" s="60" t="s">
        <v>814</v>
      </c>
      <c r="E213" s="60" t="s">
        <v>803</v>
      </c>
      <c r="F213" s="25" t="s">
        <v>815</v>
      </c>
      <c r="G213" s="61">
        <v>46180</v>
      </c>
      <c r="H213" s="54">
        <v>40000</v>
      </c>
      <c r="I213" s="19">
        <v>30</v>
      </c>
      <c r="J213" s="54">
        <f t="shared" si="55"/>
        <v>40000</v>
      </c>
      <c r="K213" s="54"/>
      <c r="L213" s="55"/>
      <c r="M213" s="54"/>
      <c r="N213" s="55"/>
      <c r="O213" s="188">
        <v>7000</v>
      </c>
      <c r="P213" s="95">
        <v>59</v>
      </c>
      <c r="Q213" s="55"/>
      <c r="R213" s="56"/>
      <c r="S213" s="57"/>
      <c r="T213" s="56">
        <f t="shared" si="57"/>
        <v>33000</v>
      </c>
      <c r="U213" s="87"/>
      <c r="V213" s="87"/>
      <c r="X213" s="25"/>
      <c r="ALI213"/>
      <c r="ALJ213"/>
      <c r="ALK213"/>
      <c r="ALL213"/>
    </row>
    <row r="214" spans="1:1000" s="2" customFormat="1" x14ac:dyDescent="0.25">
      <c r="A214" s="150">
        <f t="shared" si="56"/>
        <v>6</v>
      </c>
      <c r="B214" s="22"/>
      <c r="C214" s="149" t="s">
        <v>816</v>
      </c>
      <c r="D214" s="60" t="s">
        <v>817</v>
      </c>
      <c r="E214" s="60" t="s">
        <v>803</v>
      </c>
      <c r="F214" s="25" t="s">
        <v>818</v>
      </c>
      <c r="G214" s="61">
        <v>46260</v>
      </c>
      <c r="H214" s="54">
        <v>40000</v>
      </c>
      <c r="I214" s="19">
        <v>30</v>
      </c>
      <c r="J214" s="54">
        <f t="shared" si="55"/>
        <v>40000</v>
      </c>
      <c r="K214" s="54"/>
      <c r="L214" s="55"/>
      <c r="M214" s="54"/>
      <c r="N214" s="55"/>
      <c r="O214" s="188"/>
      <c r="P214" s="54"/>
      <c r="Q214" s="55"/>
      <c r="R214" s="56">
        <v>40000</v>
      </c>
      <c r="S214" s="57"/>
      <c r="T214" s="56">
        <f t="shared" si="57"/>
        <v>0</v>
      </c>
      <c r="U214" s="87"/>
      <c r="V214" s="87"/>
      <c r="X214" s="25"/>
      <c r="ALI214"/>
      <c r="ALJ214"/>
      <c r="ALK214"/>
      <c r="ALL214"/>
    </row>
    <row r="215" spans="1:1000" s="2" customFormat="1" x14ac:dyDescent="0.25">
      <c r="A215" s="150">
        <f t="shared" si="56"/>
        <v>7</v>
      </c>
      <c r="B215" s="22"/>
      <c r="C215" s="149" t="s">
        <v>819</v>
      </c>
      <c r="D215" s="60" t="s">
        <v>820</v>
      </c>
      <c r="E215" s="60" t="s">
        <v>803</v>
      </c>
      <c r="F215" s="25" t="s">
        <v>821</v>
      </c>
      <c r="G215" s="61">
        <v>46223</v>
      </c>
      <c r="H215" s="54">
        <v>40000</v>
      </c>
      <c r="I215" s="19">
        <v>30</v>
      </c>
      <c r="J215" s="54">
        <f t="shared" si="55"/>
        <v>40000</v>
      </c>
      <c r="K215" s="54"/>
      <c r="L215" s="55"/>
      <c r="M215" s="54"/>
      <c r="N215" s="55"/>
      <c r="O215" s="188">
        <v>20000</v>
      </c>
      <c r="P215" s="95">
        <v>15</v>
      </c>
      <c r="Q215" s="55"/>
      <c r="R215" s="56"/>
      <c r="S215" s="57"/>
      <c r="T215" s="56">
        <f t="shared" si="57"/>
        <v>20000</v>
      </c>
      <c r="U215" s="87"/>
      <c r="V215" s="87"/>
      <c r="X215" s="25"/>
      <c r="ALI215"/>
      <c r="ALJ215"/>
      <c r="ALK215"/>
      <c r="ALL215"/>
    </row>
    <row r="216" spans="1:1000" ht="31.5" x14ac:dyDescent="0.25">
      <c r="A216" s="150">
        <f t="shared" si="56"/>
        <v>8</v>
      </c>
      <c r="B216" s="22" t="s">
        <v>822</v>
      </c>
      <c r="C216" s="59" t="s">
        <v>823</v>
      </c>
      <c r="D216" s="60" t="s">
        <v>824</v>
      </c>
      <c r="E216" s="60" t="s">
        <v>803</v>
      </c>
      <c r="F216" s="25" t="s">
        <v>825</v>
      </c>
      <c r="G216" s="61">
        <v>45597</v>
      </c>
      <c r="H216" s="54">
        <v>40000</v>
      </c>
      <c r="I216" s="19">
        <v>30</v>
      </c>
      <c r="J216" s="54">
        <f t="shared" si="55"/>
        <v>40000</v>
      </c>
      <c r="K216" s="54"/>
      <c r="L216" s="103"/>
      <c r="M216" s="54"/>
      <c r="N216" s="55"/>
      <c r="O216" s="188"/>
      <c r="P216" s="54"/>
      <c r="Q216" s="55"/>
      <c r="R216" s="56"/>
      <c r="S216" s="57">
        <v>0</v>
      </c>
      <c r="T216" s="56">
        <f t="shared" si="57"/>
        <v>40000</v>
      </c>
      <c r="U216" s="87"/>
      <c r="V216" s="87">
        <v>1010349389</v>
      </c>
      <c r="X216" s="25">
        <v>342710346</v>
      </c>
    </row>
    <row r="217" spans="1:1000" x14ac:dyDescent="0.25">
      <c r="A217" s="150">
        <f t="shared" si="56"/>
        <v>9</v>
      </c>
      <c r="B217" s="22"/>
      <c r="C217" s="59" t="s">
        <v>826</v>
      </c>
      <c r="D217" s="60" t="s">
        <v>827</v>
      </c>
      <c r="E217" s="60" t="s">
        <v>803</v>
      </c>
      <c r="F217" s="25" t="s">
        <v>828</v>
      </c>
      <c r="G217" s="61">
        <v>46246</v>
      </c>
      <c r="H217" s="54">
        <v>40000</v>
      </c>
      <c r="I217" s="19">
        <v>30</v>
      </c>
      <c r="J217" s="54">
        <f t="shared" si="55"/>
        <v>40000</v>
      </c>
      <c r="K217" s="54"/>
      <c r="L217" s="103"/>
      <c r="M217" s="54"/>
      <c r="N217" s="55"/>
      <c r="O217" s="188">
        <v>20000</v>
      </c>
      <c r="P217" s="95">
        <v>16</v>
      </c>
      <c r="Q217" s="55"/>
      <c r="R217" s="56"/>
      <c r="S217" s="57"/>
      <c r="T217" s="56">
        <f t="shared" si="57"/>
        <v>20000</v>
      </c>
      <c r="U217" s="87"/>
      <c r="V217" s="87"/>
      <c r="X217" s="25"/>
    </row>
    <row r="218" spans="1:1000" x14ac:dyDescent="0.25">
      <c r="A218" s="150">
        <f t="shared" si="56"/>
        <v>10</v>
      </c>
      <c r="B218" s="22" t="s">
        <v>829</v>
      </c>
      <c r="C218" s="59" t="s">
        <v>830</v>
      </c>
      <c r="D218" s="60" t="s">
        <v>831</v>
      </c>
      <c r="E218" s="60" t="s">
        <v>803</v>
      </c>
      <c r="F218" s="25" t="s">
        <v>832</v>
      </c>
      <c r="G218" s="61">
        <v>45979</v>
      </c>
      <c r="H218" s="54">
        <v>40000</v>
      </c>
      <c r="I218" s="19">
        <v>30</v>
      </c>
      <c r="J218" s="54">
        <f t="shared" si="55"/>
        <v>40000</v>
      </c>
      <c r="K218" s="54"/>
      <c r="L218" s="103"/>
      <c r="M218" s="54"/>
      <c r="N218" s="55"/>
      <c r="O218" s="188">
        <v>10000</v>
      </c>
      <c r="P218" s="95">
        <v>17</v>
      </c>
      <c r="Q218" s="55"/>
      <c r="R218" s="56"/>
      <c r="S218" s="57">
        <v>0</v>
      </c>
      <c r="T218" s="56">
        <f>J218+K218+0+L218-N218-O218-Q218-R218-S218</f>
        <v>30000</v>
      </c>
      <c r="U218" s="87"/>
      <c r="V218" s="87"/>
      <c r="X218" s="25"/>
    </row>
    <row r="219" spans="1:1000" ht="16.5" thickBot="1" x14ac:dyDescent="0.3">
      <c r="B219" s="22"/>
      <c r="D219" s="39"/>
      <c r="E219" s="40"/>
      <c r="F219" s="40"/>
      <c r="G219" s="41"/>
      <c r="H219" s="42">
        <f>SUM(H209:H218)</f>
        <v>460000</v>
      </c>
      <c r="I219" s="41"/>
      <c r="J219" s="42">
        <f t="shared" ref="J219:O219" si="58">SUM(J209:J218)</f>
        <v>460000</v>
      </c>
      <c r="K219" s="42">
        <f t="shared" si="58"/>
        <v>0</v>
      </c>
      <c r="L219" s="42">
        <f t="shared" si="58"/>
        <v>0</v>
      </c>
      <c r="M219" s="42">
        <f t="shared" si="58"/>
        <v>0</v>
      </c>
      <c r="N219" s="42">
        <f t="shared" si="58"/>
        <v>0</v>
      </c>
      <c r="O219" s="186">
        <f t="shared" si="58"/>
        <v>97000</v>
      </c>
      <c r="P219" s="42"/>
      <c r="Q219" s="42">
        <f>SUM(Q209:Q218)</f>
        <v>0</v>
      </c>
      <c r="R219" s="42">
        <f>SUM(R209:R218)</f>
        <v>40000</v>
      </c>
      <c r="S219" s="42">
        <f>SUM(S209:S218)</f>
        <v>500</v>
      </c>
      <c r="T219" s="42">
        <f>SUM(T209:T218)</f>
        <v>322500</v>
      </c>
      <c r="U219" s="42"/>
      <c r="V219" s="40"/>
      <c r="X219" s="25"/>
    </row>
    <row r="220" spans="1:1000" ht="17.25" thickTop="1" thickBot="1" x14ac:dyDescent="0.3">
      <c r="A220" s="16" t="s">
        <v>833</v>
      </c>
      <c r="B220" s="22"/>
      <c r="C220" s="17"/>
      <c r="D220" s="18"/>
      <c r="E220" s="18"/>
      <c r="F220" s="17"/>
      <c r="G220" s="17"/>
      <c r="H220" s="17"/>
      <c r="I220" s="19"/>
      <c r="J220" s="17"/>
      <c r="K220" s="17"/>
      <c r="L220" s="17"/>
      <c r="M220" s="17"/>
      <c r="N220" s="17"/>
      <c r="O220" s="184"/>
      <c r="P220" s="17"/>
      <c r="Q220" s="17"/>
      <c r="R220" s="20"/>
      <c r="S220" s="21"/>
      <c r="T220" s="20"/>
      <c r="U220" s="17"/>
      <c r="V220" s="17"/>
      <c r="X220" s="25"/>
    </row>
    <row r="221" spans="1:1000" x14ac:dyDescent="0.25">
      <c r="A221" s="164">
        <v>1</v>
      </c>
      <c r="B221" s="22" t="s">
        <v>834</v>
      </c>
      <c r="C221" s="165" t="s">
        <v>699</v>
      </c>
      <c r="D221" s="166" t="s">
        <v>750</v>
      </c>
      <c r="E221" s="166" t="s">
        <v>835</v>
      </c>
      <c r="F221" s="167" t="s">
        <v>836</v>
      </c>
      <c r="G221" s="168">
        <v>45809</v>
      </c>
      <c r="H221" s="169">
        <f>100000+20000</f>
        <v>120000</v>
      </c>
      <c r="I221" s="19">
        <v>30</v>
      </c>
      <c r="J221" s="54">
        <f t="shared" ref="J221:J232" si="59">H221/30*I221</f>
        <v>120000</v>
      </c>
      <c r="K221" s="54"/>
      <c r="L221" s="55"/>
      <c r="M221" s="55"/>
      <c r="N221" s="55"/>
      <c r="O221" s="188"/>
      <c r="P221" s="54"/>
      <c r="Q221" s="54"/>
      <c r="R221" s="56"/>
      <c r="S221" s="57">
        <v>2700</v>
      </c>
      <c r="T221" s="56">
        <f t="shared" ref="T221:T232" si="60">J221+K221+0+L221-N221-O221-Q221-R221-S221</f>
        <v>117300</v>
      </c>
      <c r="U221" s="170"/>
      <c r="V221" s="170"/>
      <c r="X221" s="25">
        <v>342710292</v>
      </c>
      <c r="AA221" s="2" t="s">
        <v>837</v>
      </c>
    </row>
    <row r="222" spans="1:1000" s="68" customFormat="1" x14ac:dyDescent="0.25">
      <c r="A222" s="139">
        <f>1+A221</f>
        <v>2</v>
      </c>
      <c r="B222" s="22" t="s">
        <v>838</v>
      </c>
      <c r="C222" s="59" t="s">
        <v>839</v>
      </c>
      <c r="D222" s="60" t="s">
        <v>840</v>
      </c>
      <c r="E222" s="60" t="s">
        <v>841</v>
      </c>
      <c r="F222" s="171" t="s">
        <v>842</v>
      </c>
      <c r="G222" s="61">
        <v>45809</v>
      </c>
      <c r="H222" s="54">
        <v>50000</v>
      </c>
      <c r="I222" s="19">
        <v>30</v>
      </c>
      <c r="J222" s="54">
        <f t="shared" si="59"/>
        <v>50000</v>
      </c>
      <c r="K222" s="54"/>
      <c r="L222" s="55"/>
      <c r="M222" s="54"/>
      <c r="N222" s="55"/>
      <c r="O222" s="195"/>
      <c r="P222" s="72"/>
      <c r="Q222" s="54"/>
      <c r="R222" s="56"/>
      <c r="S222" s="72">
        <v>0</v>
      </c>
      <c r="T222" s="56">
        <f t="shared" si="60"/>
        <v>50000</v>
      </c>
      <c r="U222" s="105"/>
      <c r="V222" s="172"/>
      <c r="W222" s="2"/>
      <c r="X222" s="25"/>
      <c r="AB222" s="2"/>
      <c r="AC222" s="2"/>
      <c r="AD222" s="2"/>
      <c r="AE222" s="2"/>
      <c r="AF222" s="2"/>
      <c r="AH222" s="2"/>
      <c r="AI222" s="2"/>
    </row>
    <row r="223" spans="1:1000" s="128" customFormat="1" x14ac:dyDescent="0.25">
      <c r="A223" s="139">
        <f t="shared" ref="A223:A232" si="61">1+A222</f>
        <v>3</v>
      </c>
      <c r="B223" s="22" t="s">
        <v>843</v>
      </c>
      <c r="C223" s="69" t="s">
        <v>844</v>
      </c>
      <c r="D223" s="125" t="s">
        <v>367</v>
      </c>
      <c r="E223" s="125" t="s">
        <v>679</v>
      </c>
      <c r="F223" s="125" t="s">
        <v>845</v>
      </c>
      <c r="G223" s="154">
        <v>46074</v>
      </c>
      <c r="H223" s="127">
        <f>30000+2500</f>
        <v>32500</v>
      </c>
      <c r="I223" s="19">
        <v>30</v>
      </c>
      <c r="J223" s="54">
        <f t="shared" si="59"/>
        <v>32499.999999999996</v>
      </c>
      <c r="K223" s="127"/>
      <c r="L223" s="155"/>
      <c r="M223" s="127"/>
      <c r="N223" s="155"/>
      <c r="O223" s="195">
        <f>30000/2</f>
        <v>15000</v>
      </c>
      <c r="P223" s="173">
        <v>7</v>
      </c>
      <c r="Q223" s="127"/>
      <c r="R223" s="157"/>
      <c r="S223" s="158"/>
      <c r="T223" s="56">
        <f t="shared" si="60"/>
        <v>17499.999999999996</v>
      </c>
      <c r="U223" s="159"/>
      <c r="V223" s="174"/>
      <c r="W223" s="161"/>
      <c r="X223" s="162"/>
      <c r="AA223" s="128" t="s">
        <v>846</v>
      </c>
      <c r="AB223" s="2"/>
      <c r="AC223" s="2"/>
      <c r="AD223" s="2"/>
      <c r="AE223" s="2"/>
      <c r="AF223" s="2"/>
      <c r="AH223" s="2"/>
      <c r="AI223" s="2"/>
    </row>
    <row r="224" spans="1:1000" s="128" customFormat="1" x14ac:dyDescent="0.25">
      <c r="A224" s="139">
        <f t="shared" si="61"/>
        <v>4</v>
      </c>
      <c r="B224" s="22" t="s">
        <v>847</v>
      </c>
      <c r="C224" s="69" t="s">
        <v>848</v>
      </c>
      <c r="D224" s="125" t="s">
        <v>849</v>
      </c>
      <c r="E224" s="125" t="s">
        <v>679</v>
      </c>
      <c r="F224" s="125" t="s">
        <v>850</v>
      </c>
      <c r="G224" s="154">
        <v>46149</v>
      </c>
      <c r="H224" s="127">
        <v>30000</v>
      </c>
      <c r="I224" s="19">
        <v>30</v>
      </c>
      <c r="J224" s="54">
        <f t="shared" si="59"/>
        <v>30000</v>
      </c>
      <c r="K224" s="127"/>
      <c r="L224" s="155"/>
      <c r="M224" s="127"/>
      <c r="N224" s="155"/>
      <c r="O224" s="195">
        <v>15000</v>
      </c>
      <c r="P224" s="173">
        <v>9</v>
      </c>
      <c r="Q224" s="127"/>
      <c r="R224" s="157"/>
      <c r="S224" s="158"/>
      <c r="T224" s="56">
        <f t="shared" si="60"/>
        <v>15000</v>
      </c>
      <c r="U224" s="159"/>
      <c r="V224" s="174"/>
      <c r="W224" s="161"/>
      <c r="X224" s="162"/>
      <c r="AB224" s="2"/>
      <c r="AC224" s="2"/>
      <c r="AD224" s="2"/>
      <c r="AE224" s="2"/>
      <c r="AF224" s="2"/>
      <c r="AH224" s="2"/>
      <c r="AI224" s="2"/>
    </row>
    <row r="225" spans="1:35" s="68" customFormat="1" ht="18.75" customHeight="1" x14ac:dyDescent="0.25">
      <c r="A225" s="139">
        <f t="shared" si="61"/>
        <v>5</v>
      </c>
      <c r="B225" s="22" t="s">
        <v>851</v>
      </c>
      <c r="C225" s="69" t="s">
        <v>852</v>
      </c>
      <c r="D225" s="66" t="s">
        <v>853</v>
      </c>
      <c r="E225" s="66" t="s">
        <v>728</v>
      </c>
      <c r="F225" s="66" t="s">
        <v>854</v>
      </c>
      <c r="G225" s="61">
        <v>44256</v>
      </c>
      <c r="H225" s="54">
        <v>32500</v>
      </c>
      <c r="I225" s="19">
        <v>30</v>
      </c>
      <c r="J225" s="54">
        <f t="shared" si="59"/>
        <v>32499.999999999996</v>
      </c>
      <c r="K225" s="54"/>
      <c r="L225" s="55"/>
      <c r="M225" s="54"/>
      <c r="N225" s="55"/>
      <c r="O225" s="195"/>
      <c r="P225" s="72"/>
      <c r="Q225" s="54"/>
      <c r="R225" s="56"/>
      <c r="S225" s="72">
        <v>0</v>
      </c>
      <c r="T225" s="56">
        <f t="shared" si="60"/>
        <v>32499.999999999996</v>
      </c>
      <c r="U225" s="105"/>
      <c r="V225" s="140">
        <v>1010354583</v>
      </c>
      <c r="X225" s="25">
        <v>342710278</v>
      </c>
      <c r="AB225" s="2"/>
      <c r="AC225" s="2"/>
      <c r="AD225" s="2"/>
      <c r="AE225" s="2"/>
      <c r="AF225" s="2"/>
      <c r="AH225" s="2"/>
      <c r="AI225" s="2"/>
    </row>
    <row r="226" spans="1:35" s="68" customFormat="1" x14ac:dyDescent="0.25">
      <c r="A226" s="139">
        <f t="shared" si="61"/>
        <v>6</v>
      </c>
      <c r="B226" s="22"/>
      <c r="C226" s="69" t="s">
        <v>855</v>
      </c>
      <c r="D226" s="175" t="s">
        <v>856</v>
      </c>
      <c r="E226" s="66" t="s">
        <v>857</v>
      </c>
      <c r="F226" s="66" t="s">
        <v>858</v>
      </c>
      <c r="G226" s="61">
        <v>46197</v>
      </c>
      <c r="H226" s="54">
        <v>30000</v>
      </c>
      <c r="I226" s="19">
        <v>30</v>
      </c>
      <c r="J226" s="54">
        <f t="shared" si="59"/>
        <v>30000</v>
      </c>
      <c r="K226" s="54"/>
      <c r="L226" s="55"/>
      <c r="M226" s="54"/>
      <c r="N226" s="55"/>
      <c r="O226" s="195">
        <v>20000</v>
      </c>
      <c r="P226" s="173">
        <v>8</v>
      </c>
      <c r="Q226" s="54"/>
      <c r="R226" s="56"/>
      <c r="S226" s="72">
        <v>0</v>
      </c>
      <c r="T226" s="56">
        <f t="shared" si="60"/>
        <v>10000</v>
      </c>
      <c r="U226" s="105"/>
      <c r="V226" s="140"/>
      <c r="X226" s="25"/>
      <c r="AB226" s="2"/>
      <c r="AC226" s="2"/>
      <c r="AD226" s="2"/>
      <c r="AE226" s="2"/>
      <c r="AF226" s="2"/>
      <c r="AH226" s="2"/>
      <c r="AI226" s="2"/>
    </row>
    <row r="227" spans="1:35" s="68" customFormat="1" x14ac:dyDescent="0.25">
      <c r="A227" s="139">
        <f t="shared" si="61"/>
        <v>7</v>
      </c>
      <c r="B227" s="22" t="s">
        <v>859</v>
      </c>
      <c r="C227" s="69" t="s">
        <v>860</v>
      </c>
      <c r="D227" s="176" t="s">
        <v>861</v>
      </c>
      <c r="E227" s="66" t="s">
        <v>862</v>
      </c>
      <c r="F227" s="66"/>
      <c r="G227" s="61"/>
      <c r="H227" s="54">
        <v>25000</v>
      </c>
      <c r="I227" s="19">
        <v>30</v>
      </c>
      <c r="J227" s="54">
        <f t="shared" si="59"/>
        <v>25000</v>
      </c>
      <c r="K227" s="54"/>
      <c r="L227" s="55"/>
      <c r="M227" s="54"/>
      <c r="N227" s="55"/>
      <c r="O227" s="195"/>
      <c r="P227" s="72"/>
      <c r="Q227" s="72"/>
      <c r="R227" s="56"/>
      <c r="S227" s="72"/>
      <c r="T227" s="56">
        <f t="shared" si="60"/>
        <v>25000</v>
      </c>
      <c r="U227" s="105"/>
      <c r="V227" s="140"/>
      <c r="X227" s="25"/>
      <c r="AB227" s="2"/>
      <c r="AC227" s="2"/>
      <c r="AD227" s="2"/>
      <c r="AE227" s="2"/>
      <c r="AF227" s="2"/>
      <c r="AH227" s="2"/>
      <c r="AI227" s="2"/>
    </row>
    <row r="228" spans="1:35" s="68" customFormat="1" x14ac:dyDescent="0.25">
      <c r="A228" s="139">
        <f t="shared" si="61"/>
        <v>8</v>
      </c>
      <c r="B228" s="22" t="s">
        <v>863</v>
      </c>
      <c r="C228" s="69" t="s">
        <v>864</v>
      </c>
      <c r="D228" s="66" t="s">
        <v>865</v>
      </c>
      <c r="E228" s="60" t="s">
        <v>866</v>
      </c>
      <c r="F228" s="66" t="s">
        <v>867</v>
      </c>
      <c r="G228" s="61">
        <v>45813</v>
      </c>
      <c r="H228" s="54">
        <v>25000</v>
      </c>
      <c r="I228" s="19">
        <v>30</v>
      </c>
      <c r="J228" s="54">
        <f t="shared" si="59"/>
        <v>25000</v>
      </c>
      <c r="K228" s="54"/>
      <c r="L228" s="55"/>
      <c r="M228" s="54"/>
      <c r="N228" s="55"/>
      <c r="O228" s="195">
        <f>25000/2</f>
        <v>12500</v>
      </c>
      <c r="P228" s="173">
        <v>6</v>
      </c>
      <c r="Q228" s="54"/>
      <c r="R228" s="56"/>
      <c r="S228" s="72">
        <v>0</v>
      </c>
      <c r="T228" s="56">
        <f t="shared" si="60"/>
        <v>12500</v>
      </c>
      <c r="U228" s="105"/>
      <c r="V228" s="140"/>
      <c r="X228" s="25"/>
      <c r="AB228" s="2"/>
      <c r="AC228" s="2"/>
      <c r="AD228" s="2"/>
      <c r="AE228" s="2"/>
      <c r="AF228" s="2"/>
      <c r="AH228" s="2"/>
      <c r="AI228" s="2"/>
    </row>
    <row r="229" spans="1:35" s="68" customFormat="1" x14ac:dyDescent="0.25">
      <c r="A229" s="139">
        <f t="shared" si="61"/>
        <v>9</v>
      </c>
      <c r="B229" s="22" t="s">
        <v>868</v>
      </c>
      <c r="C229" s="69" t="s">
        <v>869</v>
      </c>
      <c r="D229" s="66" t="s">
        <v>870</v>
      </c>
      <c r="E229" s="60" t="s">
        <v>866</v>
      </c>
      <c r="F229" s="66" t="s">
        <v>871</v>
      </c>
      <c r="G229" s="61">
        <v>46115</v>
      </c>
      <c r="H229" s="54">
        <v>25000</v>
      </c>
      <c r="I229" s="19">
        <v>30</v>
      </c>
      <c r="J229" s="54">
        <f t="shared" si="59"/>
        <v>25000</v>
      </c>
      <c r="K229" s="54"/>
      <c r="L229" s="55"/>
      <c r="M229" s="54"/>
      <c r="N229" s="55"/>
      <c r="O229" s="195">
        <f>25000/2</f>
        <v>12500</v>
      </c>
      <c r="P229" s="173">
        <v>12</v>
      </c>
      <c r="Q229" s="54"/>
      <c r="R229" s="56"/>
      <c r="S229" s="72"/>
      <c r="T229" s="56">
        <f t="shared" si="60"/>
        <v>12500</v>
      </c>
      <c r="U229" s="105"/>
      <c r="V229" s="140"/>
      <c r="X229" s="25"/>
      <c r="AB229" s="2"/>
      <c r="AC229" s="2"/>
      <c r="AD229" s="2"/>
      <c r="AE229" s="2"/>
      <c r="AF229" s="2"/>
      <c r="AH229" s="2"/>
      <c r="AI229" s="2"/>
    </row>
    <row r="230" spans="1:35" x14ac:dyDescent="0.25">
      <c r="A230" s="139">
        <f t="shared" si="61"/>
        <v>10</v>
      </c>
      <c r="B230" s="22" t="s">
        <v>872</v>
      </c>
      <c r="C230" s="59" t="s">
        <v>873</v>
      </c>
      <c r="D230" s="60" t="s">
        <v>874</v>
      </c>
      <c r="E230" s="60" t="s">
        <v>866</v>
      </c>
      <c r="F230" s="25" t="s">
        <v>875</v>
      </c>
      <c r="G230" s="61">
        <v>45650</v>
      </c>
      <c r="H230" s="54">
        <v>25000</v>
      </c>
      <c r="I230" s="19">
        <v>30</v>
      </c>
      <c r="J230" s="54">
        <f t="shared" si="59"/>
        <v>25000</v>
      </c>
      <c r="K230" s="54"/>
      <c r="L230" s="55"/>
      <c r="M230" s="54"/>
      <c r="N230" s="55"/>
      <c r="O230" s="195"/>
      <c r="P230" s="72"/>
      <c r="Q230" s="55"/>
      <c r="R230" s="56"/>
      <c r="S230" s="57">
        <v>0</v>
      </c>
      <c r="T230" s="56">
        <f t="shared" si="60"/>
        <v>25000</v>
      </c>
      <c r="U230" s="87"/>
      <c r="V230" s="87"/>
      <c r="W230" s="68"/>
      <c r="X230" s="25"/>
    </row>
    <row r="231" spans="1:35" s="68" customFormat="1" ht="61.5" customHeight="1" x14ac:dyDescent="0.25">
      <c r="A231" s="139">
        <f t="shared" si="61"/>
        <v>11</v>
      </c>
      <c r="B231" s="22" t="s">
        <v>876</v>
      </c>
      <c r="C231" s="69" t="s">
        <v>877</v>
      </c>
      <c r="D231" s="66" t="s">
        <v>878</v>
      </c>
      <c r="E231" s="60" t="s">
        <v>879</v>
      </c>
      <c r="F231" s="66" t="s">
        <v>880</v>
      </c>
      <c r="G231" s="61">
        <v>44461</v>
      </c>
      <c r="H231" s="54">
        <f>35000+3000+2000</f>
        <v>40000</v>
      </c>
      <c r="I231" s="19">
        <v>30</v>
      </c>
      <c r="J231" s="54">
        <f t="shared" si="59"/>
        <v>40000</v>
      </c>
      <c r="K231" s="54"/>
      <c r="L231" s="55"/>
      <c r="M231" s="54"/>
      <c r="N231" s="55"/>
      <c r="O231" s="195">
        <f>40000/2</f>
        <v>20000</v>
      </c>
      <c r="P231" s="173">
        <v>13</v>
      </c>
      <c r="Q231" s="54"/>
      <c r="R231" s="56"/>
      <c r="S231" s="72"/>
      <c r="T231" s="56">
        <f t="shared" si="60"/>
        <v>20000</v>
      </c>
      <c r="U231" s="106" t="s">
        <v>881</v>
      </c>
      <c r="V231" s="140"/>
      <c r="X231" s="25"/>
      <c r="AA231" s="68" t="s">
        <v>882</v>
      </c>
      <c r="AB231" s="2"/>
      <c r="AC231" s="2"/>
      <c r="AD231" s="2"/>
      <c r="AE231" s="2"/>
      <c r="AF231" s="2"/>
      <c r="AH231" s="2"/>
      <c r="AI231" s="2"/>
    </row>
    <row r="232" spans="1:35" s="68" customFormat="1" x14ac:dyDescent="0.25">
      <c r="A232" s="139">
        <f t="shared" si="61"/>
        <v>12</v>
      </c>
      <c r="B232" s="22" t="s">
        <v>883</v>
      </c>
      <c r="C232" s="69" t="s">
        <v>884</v>
      </c>
      <c r="D232" s="66" t="s">
        <v>557</v>
      </c>
      <c r="E232" s="60" t="s">
        <v>879</v>
      </c>
      <c r="F232" s="66" t="s">
        <v>885</v>
      </c>
      <c r="G232" s="61">
        <v>45614</v>
      </c>
      <c r="H232" s="54">
        <f>35000+2000</f>
        <v>37000</v>
      </c>
      <c r="I232" s="19">
        <v>30</v>
      </c>
      <c r="J232" s="54">
        <f t="shared" si="59"/>
        <v>37000</v>
      </c>
      <c r="K232" s="54"/>
      <c r="L232" s="55"/>
      <c r="M232" s="54"/>
      <c r="N232" s="55"/>
      <c r="O232" s="195">
        <v>18500</v>
      </c>
      <c r="P232" s="173">
        <v>52</v>
      </c>
      <c r="Q232" s="54"/>
      <c r="R232" s="56"/>
      <c r="S232" s="72"/>
      <c r="T232" s="56">
        <f t="shared" si="60"/>
        <v>18500</v>
      </c>
      <c r="U232" s="105"/>
      <c r="V232" s="140"/>
      <c r="X232" s="25"/>
      <c r="AB232" s="2"/>
      <c r="AC232" s="2"/>
      <c r="AD232" s="2"/>
      <c r="AE232" s="2"/>
      <c r="AF232" s="2"/>
      <c r="AH232" s="2"/>
      <c r="AI232" s="2"/>
    </row>
    <row r="233" spans="1:35" ht="16.5" thickBot="1" x14ac:dyDescent="0.3">
      <c r="B233" s="22"/>
      <c r="D233" s="39"/>
      <c r="E233" s="40"/>
      <c r="F233" s="40"/>
      <c r="G233" s="41"/>
      <c r="H233" s="42">
        <f>SUM(H221:H232)</f>
        <v>472000</v>
      </c>
      <c r="I233" s="41"/>
      <c r="J233" s="42">
        <f>SUM(J221:J232)</f>
        <v>472000</v>
      </c>
      <c r="K233" s="42">
        <f t="shared" ref="K233:S233" si="62">SUM(K221:K232)</f>
        <v>0</v>
      </c>
      <c r="L233" s="42">
        <f t="shared" si="62"/>
        <v>0</v>
      </c>
      <c r="M233" s="42">
        <f t="shared" si="62"/>
        <v>0</v>
      </c>
      <c r="N233" s="42">
        <f t="shared" si="62"/>
        <v>0</v>
      </c>
      <c r="O233" s="42">
        <f t="shared" si="62"/>
        <v>113500</v>
      </c>
      <c r="P233" s="42"/>
      <c r="Q233" s="42">
        <f t="shared" si="62"/>
        <v>0</v>
      </c>
      <c r="R233" s="42">
        <f>SUM(R221:R232)</f>
        <v>0</v>
      </c>
      <c r="S233" s="42">
        <f t="shared" si="62"/>
        <v>2700</v>
      </c>
      <c r="T233" s="42">
        <f>SUM(T221:T232)</f>
        <v>355800</v>
      </c>
      <c r="U233" s="42"/>
      <c r="V233" s="40"/>
      <c r="X233" s="25"/>
    </row>
    <row r="234" spans="1:35" s="6" customFormat="1" ht="28.9" customHeight="1" thickTop="1" thickBot="1" x14ac:dyDescent="0.3">
      <c r="A234" s="177">
        <f>+A232+A218+A206+A201+A189+A178+A167+A146+A133+A146+A109+A96+A84+A55+A41+A35+A24+A18+A14++A15++A9+A15++A9</f>
        <v>197</v>
      </c>
      <c r="B234" s="22"/>
      <c r="D234" s="178"/>
      <c r="E234" s="179"/>
      <c r="F234" s="179"/>
      <c r="G234" s="42"/>
      <c r="H234" s="42">
        <f t="shared" ref="H234:O234" si="63">+H233+H219+H207+H202+H190+H179+H168+H147+H134+H110+H97+H93+H85+H56+H42+H36+H25+H20+H16+H10</f>
        <v>14594750</v>
      </c>
      <c r="I234" s="42">
        <f t="shared" si="63"/>
        <v>0</v>
      </c>
      <c r="J234" s="42">
        <f t="shared" si="63"/>
        <v>14269416.666666668</v>
      </c>
      <c r="K234" s="42">
        <f t="shared" si="63"/>
        <v>183333.33333333331</v>
      </c>
      <c r="L234" s="42">
        <f t="shared" si="63"/>
        <v>175000</v>
      </c>
      <c r="M234" s="42">
        <f t="shared" si="63"/>
        <v>162000</v>
      </c>
      <c r="N234" s="42">
        <f t="shared" si="63"/>
        <v>72500</v>
      </c>
      <c r="O234" s="42">
        <f>+O233+O219+O207+O202+O190+O179+O168+O147+O134+O110+O97+O93+O85+O56+O42+O36+O25+O20+O16+O10</f>
        <v>1769000</v>
      </c>
      <c r="P234" s="42"/>
      <c r="Q234" s="42">
        <f>+Q233+Q219+Q207+Q202+Q190+Q179+Q168+Q147+Q134+Q110+Q97+Q93+Q85+Q56+Q42+Q36+Q25+Q20+Q16+Q10</f>
        <v>204851</v>
      </c>
      <c r="R234" s="42">
        <f>+R233+R219+R207+R202+R190+R179+R168+R147+R134+R110+R97+R93+R85+R56+R42+R36+R25+R20+R16+R10</f>
        <v>40000</v>
      </c>
      <c r="S234" s="42">
        <f>+S233+S219+S207+S202+S190+S179+S168+S147+S134+S110+S97+S93+S85+S56+S42+S36+S25+S20+S16+S10</f>
        <v>177118</v>
      </c>
      <c r="T234" s="42">
        <f>+T233+T219+T207+T202+T190+T179+T168+T147+T134+T110+T97+T93+T85+T56+T42+T36+T25+T20+T16+T10</f>
        <v>12364281</v>
      </c>
      <c r="U234" s="42"/>
      <c r="V234" s="179"/>
      <c r="AC234" s="2"/>
      <c r="AH234" s="2"/>
    </row>
    <row r="236" spans="1:35" ht="31.5" x14ac:dyDescent="0.25">
      <c r="E236" s="3" t="s">
        <v>886</v>
      </c>
      <c r="H236" s="35">
        <f>J234+K234+L234</f>
        <v>14627750.000000002</v>
      </c>
      <c r="Q236" s="35"/>
      <c r="S236" s="181"/>
    </row>
    <row r="238" spans="1:35" x14ac:dyDescent="0.25">
      <c r="O238" s="35"/>
      <c r="P238" s="35"/>
      <c r="Q238" s="182"/>
    </row>
    <row r="239" spans="1:35" x14ac:dyDescent="0.25">
      <c r="O239" s="35"/>
      <c r="P239" s="35"/>
      <c r="Q239" s="182"/>
    </row>
    <row r="240" spans="1:35" x14ac:dyDescent="0.25">
      <c r="O240" s="35"/>
      <c r="P240" s="35"/>
      <c r="Q240" s="182"/>
    </row>
    <row r="241" spans="2:17" x14ac:dyDescent="0.25">
      <c r="O241" s="35"/>
      <c r="P241" s="35"/>
      <c r="Q241" s="182"/>
    </row>
    <row r="242" spans="2:17" x14ac:dyDescent="0.25">
      <c r="O242" s="35"/>
      <c r="P242" s="35"/>
      <c r="Q242" s="182"/>
    </row>
    <row r="244" spans="2:17" x14ac:dyDescent="0.25">
      <c r="Q244" s="182"/>
    </row>
    <row r="251" spans="2:17" x14ac:dyDescent="0.25">
      <c r="B251" s="2">
        <f>280000+1155000</f>
        <v>1435000</v>
      </c>
    </row>
  </sheetData>
  <conditionalFormatting sqref="B40">
    <cfRule type="duplicateValues" dxfId="66" priority="7"/>
  </conditionalFormatting>
  <conditionalFormatting sqref="B53">
    <cfRule type="duplicateValues" dxfId="65" priority="8"/>
  </conditionalFormatting>
  <conditionalFormatting sqref="B73">
    <cfRule type="duplicateValues" dxfId="64" priority="9"/>
  </conditionalFormatting>
  <conditionalFormatting sqref="B145">
    <cfRule type="duplicateValues" dxfId="63" priority="10"/>
  </conditionalFormatting>
  <conditionalFormatting sqref="B165">
    <cfRule type="duplicateValues" dxfId="62" priority="4"/>
  </conditionalFormatting>
  <conditionalFormatting sqref="B194">
    <cfRule type="duplicateValues" dxfId="61" priority="11"/>
  </conditionalFormatting>
  <conditionalFormatting sqref="B199:B200">
    <cfRule type="duplicateValues" dxfId="60" priority="12"/>
  </conditionalFormatting>
  <conditionalFormatting sqref="B201">
    <cfRule type="duplicateValues" dxfId="59" priority="13"/>
  </conditionalFormatting>
  <conditionalFormatting sqref="B218">
    <cfRule type="duplicateValues" dxfId="58" priority="14"/>
  </conditionalFormatting>
  <conditionalFormatting sqref="B219:B1048576 B202:B217 B74:B144 B1:B39 B54:B72 B41:B52 B146:B164 B195:B198 B166:B193">
    <cfRule type="duplicateValues" dxfId="57" priority="15"/>
  </conditionalFormatting>
  <conditionalFormatting sqref="F10">
    <cfRule type="duplicateValues" dxfId="56" priority="16"/>
  </conditionalFormatting>
  <conditionalFormatting sqref="F16">
    <cfRule type="duplicateValues" dxfId="55" priority="17"/>
  </conditionalFormatting>
  <conditionalFormatting sqref="F17">
    <cfRule type="duplicateValues" dxfId="54" priority="18"/>
  </conditionalFormatting>
  <conditionalFormatting sqref="F20">
    <cfRule type="duplicateValues" dxfId="53" priority="19"/>
  </conditionalFormatting>
  <conditionalFormatting sqref="F21">
    <cfRule type="duplicateValues" dxfId="52" priority="20"/>
  </conditionalFormatting>
  <conditionalFormatting sqref="F25">
    <cfRule type="duplicateValues" dxfId="51" priority="21"/>
  </conditionalFormatting>
  <conditionalFormatting sqref="F26">
    <cfRule type="duplicateValues" dxfId="50" priority="22"/>
  </conditionalFormatting>
  <conditionalFormatting sqref="F36">
    <cfRule type="duplicateValues" dxfId="49" priority="23"/>
  </conditionalFormatting>
  <conditionalFormatting sqref="F37">
    <cfRule type="duplicateValues" dxfId="48" priority="24"/>
  </conditionalFormatting>
  <conditionalFormatting sqref="F40">
    <cfRule type="duplicateValues" dxfId="47" priority="25"/>
  </conditionalFormatting>
  <conditionalFormatting sqref="F42">
    <cfRule type="duplicateValues" dxfId="46" priority="26"/>
  </conditionalFormatting>
  <conditionalFormatting sqref="F43">
    <cfRule type="duplicateValues" dxfId="45" priority="27"/>
  </conditionalFormatting>
  <conditionalFormatting sqref="F53">
    <cfRule type="duplicateValues" dxfId="44" priority="28"/>
  </conditionalFormatting>
  <conditionalFormatting sqref="F56">
    <cfRule type="duplicateValues" dxfId="43" priority="29"/>
  </conditionalFormatting>
  <conditionalFormatting sqref="F57">
    <cfRule type="duplicateValues" dxfId="42" priority="30"/>
  </conditionalFormatting>
  <conditionalFormatting sqref="F62">
    <cfRule type="duplicateValues" dxfId="41" priority="31"/>
  </conditionalFormatting>
  <conditionalFormatting sqref="F73">
    <cfRule type="duplicateValues" dxfId="40" priority="32"/>
  </conditionalFormatting>
  <conditionalFormatting sqref="F85">
    <cfRule type="duplicateValues" dxfId="39" priority="33"/>
  </conditionalFormatting>
  <conditionalFormatting sqref="F93">
    <cfRule type="duplicateValues" dxfId="38" priority="34"/>
  </conditionalFormatting>
  <conditionalFormatting sqref="F94">
    <cfRule type="duplicateValues" dxfId="37" priority="35"/>
  </conditionalFormatting>
  <conditionalFormatting sqref="F97">
    <cfRule type="duplicateValues" dxfId="36" priority="36"/>
  </conditionalFormatting>
  <conditionalFormatting sqref="F98">
    <cfRule type="duplicateValues" dxfId="35" priority="37"/>
  </conditionalFormatting>
  <conditionalFormatting sqref="F110">
    <cfRule type="duplicateValues" dxfId="34" priority="38"/>
  </conditionalFormatting>
  <conditionalFormatting sqref="F111">
    <cfRule type="duplicateValues" dxfId="33" priority="39"/>
  </conditionalFormatting>
  <conditionalFormatting sqref="F112">
    <cfRule type="duplicateValues" dxfId="32" priority="40"/>
  </conditionalFormatting>
  <conditionalFormatting sqref="F134">
    <cfRule type="duplicateValues" dxfId="31" priority="41"/>
  </conditionalFormatting>
  <conditionalFormatting sqref="F135">
    <cfRule type="duplicateValues" dxfId="30" priority="42"/>
  </conditionalFormatting>
  <conditionalFormatting sqref="F136">
    <cfRule type="duplicateValues" dxfId="29" priority="43"/>
  </conditionalFormatting>
  <conditionalFormatting sqref="F145">
    <cfRule type="duplicateValues" dxfId="28" priority="44"/>
  </conditionalFormatting>
  <conditionalFormatting sqref="F147">
    <cfRule type="duplicateValues" dxfId="27" priority="45"/>
  </conditionalFormatting>
  <conditionalFormatting sqref="F148">
    <cfRule type="duplicateValues" dxfId="26" priority="46"/>
  </conditionalFormatting>
  <conditionalFormatting sqref="F165">
    <cfRule type="duplicateValues" dxfId="25" priority="5"/>
  </conditionalFormatting>
  <conditionalFormatting sqref="F168">
    <cfRule type="duplicateValues" dxfId="24" priority="47"/>
  </conditionalFormatting>
  <conditionalFormatting sqref="F169">
    <cfRule type="duplicateValues" dxfId="23" priority="48"/>
  </conditionalFormatting>
  <conditionalFormatting sqref="F179">
    <cfRule type="duplicateValues" dxfId="22" priority="49"/>
  </conditionalFormatting>
  <conditionalFormatting sqref="F180">
    <cfRule type="duplicateValues" dxfId="21" priority="50"/>
  </conditionalFormatting>
  <conditionalFormatting sqref="F190">
    <cfRule type="duplicateValues" dxfId="20" priority="51"/>
  </conditionalFormatting>
  <conditionalFormatting sqref="F191">
    <cfRule type="duplicateValues" dxfId="19" priority="52"/>
  </conditionalFormatting>
  <conditionalFormatting sqref="F194">
    <cfRule type="duplicateValues" dxfId="18" priority="53"/>
  </conditionalFormatting>
  <conditionalFormatting sqref="F199:F200">
    <cfRule type="duplicateValues" dxfId="17" priority="54"/>
  </conditionalFormatting>
  <conditionalFormatting sqref="F201">
    <cfRule type="duplicateValues" dxfId="16" priority="55"/>
  </conditionalFormatting>
  <conditionalFormatting sqref="F202">
    <cfRule type="duplicateValues" dxfId="15" priority="56"/>
  </conditionalFormatting>
  <conditionalFormatting sqref="F203">
    <cfRule type="duplicateValues" dxfId="14" priority="57"/>
  </conditionalFormatting>
  <conditionalFormatting sqref="F207">
    <cfRule type="duplicateValues" dxfId="13" priority="58"/>
  </conditionalFormatting>
  <conditionalFormatting sqref="F208">
    <cfRule type="duplicateValues" dxfId="12" priority="59"/>
  </conditionalFormatting>
  <conditionalFormatting sqref="F209">
    <cfRule type="duplicateValues" dxfId="11" priority="60"/>
  </conditionalFormatting>
  <conditionalFormatting sqref="F210">
    <cfRule type="duplicateValues" dxfId="10" priority="61"/>
  </conditionalFormatting>
  <conditionalFormatting sqref="F218">
    <cfRule type="duplicateValues" dxfId="9" priority="62"/>
  </conditionalFormatting>
  <conditionalFormatting sqref="F219">
    <cfRule type="duplicateValues" dxfId="8" priority="63"/>
  </conditionalFormatting>
  <conditionalFormatting sqref="F220">
    <cfRule type="duplicateValues" dxfId="7" priority="64"/>
  </conditionalFormatting>
  <conditionalFormatting sqref="F233">
    <cfRule type="duplicateValues" dxfId="6" priority="65"/>
  </conditionalFormatting>
  <conditionalFormatting sqref="F234:F1048576 F1:F2 F113:F133 F211:F217 F11:F15 F18:F19 F22:F24 F38:F39 F44:F52 F95:F96 F99:F109 F170:F178 F181:F189 F204:F206 F4:F9 F149:F164 F137:F144 F86:F92 F27:F35 F58:F61 F63:F72 F74:F84 F221:F232 F54:F55 F41 F146 F192:F193 F195:F198 F166:F167">
    <cfRule type="duplicateValues" dxfId="5" priority="66"/>
  </conditionalFormatting>
  <conditionalFormatting sqref="P1:P1048576">
    <cfRule type="duplicateValues" dxfId="4" priority="1"/>
    <cfRule type="duplicateValues" dxfId="3" priority="2"/>
    <cfRule type="duplicateValues" dxfId="2" priority="3"/>
  </conditionalFormatting>
  <conditionalFormatting sqref="X165">
    <cfRule type="duplicateValues" dxfId="1" priority="6"/>
  </conditionalFormatting>
  <conditionalFormatting sqref="X166:X1048576 X1:X164">
    <cfRule type="duplicateValues" dxfId="0" priority="6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2026-10-06T10:30:16Z</dcterms:modified>
</cp:coreProperties>
</file>